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fan.STEFAN-HP\Documents\aaa\GitHub\skydancer\NITROclubsCompetitionTimer-Excell\"/>
    </mc:Choice>
  </mc:AlternateContent>
  <xr:revisionPtr revIDLastSave="0" documentId="13_ncr:1_{5C792641-6180-40C4-9DE5-D31355A40052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Line" sheetId="6" r:id="rId1"/>
    <sheet name="ObstacleLine" sheetId="8" r:id="rId2"/>
    <sheet name="Maze" sheetId="9" r:id="rId3"/>
    <sheet name="Teleop" sheetId="10" r:id="rId4"/>
    <sheet name="tst" sheetId="11" r:id="rId5"/>
    <sheet name="ttttt" sheetId="1" r:id="rId6"/>
    <sheet name="Sheet1" sheetId="12" r:id="rId7"/>
    <sheet name="TimeToMIllis" sheetId="2" r:id="rId8"/>
    <sheet name="Sheet3" sheetId="4" r:id="rId9"/>
    <sheet name="Sheet2" sheetId="3" r:id="rId10"/>
    <sheet name="VBASort" sheetId="5" r:id="rId11"/>
    <sheet name="Process3val" sheetId="7" r:id="rId12"/>
  </sheets>
  <definedNames>
    <definedName name="team">Line!$G$2:$G$36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9" l="1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9" i="6"/>
  <c r="C2" i="6"/>
  <c r="C4" i="6"/>
  <c r="C6" i="6"/>
  <c r="C8" i="6"/>
  <c r="C7" i="6"/>
  <c r="C5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I6" i="3"/>
  <c r="J6" i="3" s="1"/>
  <c r="I5" i="3"/>
  <c r="I4" i="3"/>
  <c r="I3" i="3"/>
  <c r="I2" i="3"/>
  <c r="C3" i="2"/>
  <c r="C4" i="2"/>
  <c r="C5" i="2"/>
  <c r="C2" i="2"/>
  <c r="D13" i="2"/>
  <c r="C13" i="2"/>
  <c r="B13" i="2"/>
  <c r="D12" i="2"/>
  <c r="C12" i="2"/>
  <c r="B12" i="2"/>
  <c r="E12" i="2" l="1"/>
  <c r="E13" i="2"/>
  <c r="J20" i="3"/>
  <c r="J2" i="3"/>
  <c r="J19" i="3"/>
  <c r="J22" i="3"/>
  <c r="J13" i="3"/>
  <c r="J5" i="3"/>
  <c r="J18" i="3"/>
  <c r="J4" i="3"/>
  <c r="J17" i="3"/>
  <c r="J16" i="3"/>
  <c r="J21" i="3"/>
  <c r="J3" i="3"/>
  <c r="J23" i="3"/>
  <c r="J15" i="3"/>
  <c r="J12" i="3"/>
  <c r="J11" i="3"/>
  <c r="J10" i="3"/>
  <c r="J9" i="3"/>
  <c r="J8" i="3"/>
  <c r="J7" i="3"/>
  <c r="J14" i="3"/>
</calcChain>
</file>

<file path=xl/sharedStrings.xml><?xml version="1.0" encoding="utf-8"?>
<sst xmlns="http://schemas.openxmlformats.org/spreadsheetml/2006/main" count="280" uniqueCount="111">
  <si>
    <t>01:13.826</t>
  </si>
  <si>
    <t xml:space="preserve">https://stackoverflow.com/questions/8183698/how-do-i-convert-hhmmss-000-to-milliseconds-in-excel </t>
  </si>
  <si>
    <t>11:22.232</t>
  </si>
  <si>
    <t>135625 ms,  lapStartTime_ = 108997 ms, HumanReadableLapTime= 00:26.628</t>
  </si>
  <si>
    <t>00:26.628</t>
  </si>
  <si>
    <t>D12+(C12*1000)+(B12*60000)</t>
  </si>
  <si>
    <t>team</t>
  </si>
  <si>
    <t>time</t>
  </si>
  <si>
    <t>time in ms</t>
  </si>
  <si>
    <t>gogo</t>
  </si>
  <si>
    <t>RIGHT(B2;3)+(MID(B2;4;2)*1000)+(LEFT(B2;2)*60000)</t>
  </si>
  <si>
    <t>11:22.233</t>
  </si>
  <si>
    <t>11:22.234</t>
  </si>
  <si>
    <t>11:22.235</t>
  </si>
  <si>
    <t>pesho</t>
  </si>
  <si>
    <t>mimi</t>
  </si>
  <si>
    <t>nana</t>
  </si>
  <si>
    <t>Where:</t>
  </si>
  <si>
    <t>A2:B8 is the source array</t>
  </si>
  <si>
    <t>2 is the column number to sort by</t>
  </si>
  <si>
    <t>1 is the ascending sort order</t>
  </si>
  <si>
    <t>11:22.000</t>
  </si>
  <si>
    <t>11:22.333</t>
  </si>
  <si>
    <t>11:22.444</t>
  </si>
  <si>
    <t xml:space="preserve">https://www.youtube.com/watch?v=t0jqEJK6oDg </t>
  </si>
  <si>
    <t>INDEX($G$2:$J$14(A2,J2:J35,0),1)</t>
  </si>
  <si>
    <t>INDEX($G$2:$J$35,match(A2,J2:J35,0),1)</t>
  </si>
  <si>
    <t>VLOOKUP(A2,G$2:J$35,2,FALSE)</t>
  </si>
  <si>
    <t xml:space="preserve">https://www.youtube.com/watch?v=TGSA1aXc4yE </t>
  </si>
  <si>
    <t>Option Explicit</t>
  </si>
  <si>
    <t>ddd</t>
  </si>
  <si>
    <t>fff</t>
  </si>
  <si>
    <t>ОТБОР</t>
  </si>
  <si>
    <t>Време</t>
  </si>
  <si>
    <t>Отбори:</t>
  </si>
  <si>
    <t>Отб_1</t>
  </si>
  <si>
    <t>Отб_2</t>
  </si>
  <si>
    <t>Отб_3</t>
  </si>
  <si>
    <t>Отб_4</t>
  </si>
  <si>
    <t>Отб_5</t>
  </si>
  <si>
    <t>Отб_6</t>
  </si>
  <si>
    <t>Отб_7</t>
  </si>
  <si>
    <t>Отб_8</t>
  </si>
  <si>
    <t>Отб_9</t>
  </si>
  <si>
    <t>Отб_10</t>
  </si>
  <si>
    <t>Отб_11</t>
  </si>
  <si>
    <t>Отб_12</t>
  </si>
  <si>
    <t>Отб_13</t>
  </si>
  <si>
    <t>Отб_14</t>
  </si>
  <si>
    <t>Отб_15</t>
  </si>
  <si>
    <t>Отб_16</t>
  </si>
  <si>
    <t>Отб_17</t>
  </si>
  <si>
    <t>Отб_18</t>
  </si>
  <si>
    <t>Отб_19</t>
  </si>
  <si>
    <t>Отб_20</t>
  </si>
  <si>
    <t>Отб_21</t>
  </si>
  <si>
    <t>Отб_22</t>
  </si>
  <si>
    <t>Отб_23</t>
  </si>
  <si>
    <t>Отб_24</t>
  </si>
  <si>
    <t>Отб_25</t>
  </si>
  <si>
    <t>Отб_26</t>
  </si>
  <si>
    <t>Отб_27</t>
  </si>
  <si>
    <t>Отб_28</t>
  </si>
  <si>
    <t xml:space="preserve"> В милисекунди:</t>
  </si>
  <si>
    <t>c</t>
  </si>
  <si>
    <t>ПГА</t>
  </si>
  <si>
    <t>П</t>
  </si>
  <si>
    <t>М</t>
  </si>
  <si>
    <t>Г</t>
  </si>
  <si>
    <t>ПГЕЕ 1</t>
  </si>
  <si>
    <t>ПГЕЕ 2</t>
  </si>
  <si>
    <t>00:31.994</t>
  </si>
  <si>
    <t>00:26.971</t>
  </si>
  <si>
    <t>00:30.192</t>
  </si>
  <si>
    <t>00:27.568</t>
  </si>
  <si>
    <t>00:31.405</t>
  </si>
  <si>
    <t>00:31.078</t>
  </si>
  <si>
    <t>00:31.336</t>
  </si>
  <si>
    <t>00:31.052</t>
  </si>
  <si>
    <t>00:36.402</t>
  </si>
  <si>
    <t>00:44.624</t>
  </si>
  <si>
    <t>11:60.999</t>
  </si>
  <si>
    <t>12:60.999</t>
  </si>
  <si>
    <t>00:35.959</t>
  </si>
  <si>
    <t>00:49.510</t>
  </si>
  <si>
    <t>09:60.999</t>
  </si>
  <si>
    <t>00:42.121</t>
  </si>
  <si>
    <t>00:30.580</t>
  </si>
  <si>
    <t>! -----------</t>
  </si>
  <si>
    <t>00:27.043</t>
  </si>
  <si>
    <t>00:36.315</t>
  </si>
  <si>
    <t>00:58.777</t>
  </si>
  <si>
    <t>00:31.631</t>
  </si>
  <si>
    <t>00:47.905</t>
  </si>
  <si>
    <t>00:48.264</t>
  </si>
  <si>
    <t>00:45.826</t>
  </si>
  <si>
    <t>01:20.605</t>
  </si>
  <si>
    <t>01:14.298</t>
  </si>
  <si>
    <t>00:38.358</t>
  </si>
  <si>
    <t xml:space="preserve">https://www.youtube.com/watch?v=Se8rN-MAWN0 </t>
  </si>
  <si>
    <t xml:space="preserve">https://www.youtube.com/watch?v=Qu542zr1cZ8 </t>
  </si>
  <si>
    <t>00:31.994|00:15.123|5</t>
  </si>
  <si>
    <t xml:space="preserve">https://sebhastian.com/javascript-csv-to-array/ </t>
  </si>
  <si>
    <t>Download csv</t>
  </si>
  <si>
    <t xml:space="preserve">https://github.com/nsebhastian/javascript-csv-array-example </t>
  </si>
  <si>
    <t xml:space="preserve">https://stackoverflow.com/questions/36215256/how-to-click-the-li-in-the-dropdown-programmatically </t>
  </si>
  <si>
    <t xml:space="preserve">https://softauthor.com/javascript-dynamic-html-select-drop-down/ </t>
  </si>
  <si>
    <t xml:space="preserve">https://www.w3schools.com/howto/tryit.asp?filename=tryhow_css_dropdown_navbar_click </t>
  </si>
  <si>
    <t xml:space="preserve">https://www.javatpoint.com/oprweb/test.jsp?filename=how-to-create-dropdown-list-using-javascript1 </t>
  </si>
  <si>
    <t xml:space="preserve">https://bootstrapious.com/p/bootstrap-navbar-with-logo </t>
  </si>
  <si>
    <t>99:99.999|77.77.777|111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</si>
</sst>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>
    <font>
      <sz val="11"/>
      <color theme="1"/>
      <name val="Calibri"/>
      <family val="2"/>
      <scheme val="minor"/>
    </font>
    <font>
      <sz val="10"/>
      <color theme="1"/>
      <name val="Var(--ff-mono)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i/>
      <sz val="12"/>
      <color rgb="FFED4646"/>
      <name val="Nunito Sans"/>
    </font>
    <font>
      <sz val="11"/>
      <color rgb="FF9C5700"/>
      <name val="Calibri"/>
      <family val="2"/>
      <charset val="204"/>
      <scheme val="minor"/>
    </font>
    <font>
      <sz val="14"/>
      <color rgb="FF9C57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5" fillId="2" borderId="0" applyNumberFormat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left" vertical="center"/>
    </xf>
    <xf numFmtId="164" fontId="0" fillId="0" borderId="0" xfId="0" applyNumberFormat="1"/>
    <xf numFmtId="49" fontId="0" fillId="0" borderId="0" xfId="0" applyNumberFormat="1"/>
    <xf numFmtId="0" fontId="2" fillId="0" borderId="0" xfId="1"/>
    <xf numFmtId="0" fontId="4" fillId="0" borderId="0" xfId="0" applyFont="1"/>
    <xf numFmtId="0" fontId="5" fillId="2" borderId="0" xfId="2"/>
    <xf numFmtId="0" fontId="6" fillId="2" borderId="0" xfId="2" applyFont="1"/>
    <xf numFmtId="0" fontId="7" fillId="0" borderId="0" xfId="0" applyFont="1"/>
    <xf numFmtId="0" fontId="8" fillId="0" borderId="0" xfId="0" applyFont="1"/>
  </cellXfs>
  <cellStyles count="3">
    <cellStyle name="Hyperlink" xfId="1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softauthor.com/javascript-dynamic-html-select-drop-down/" TargetMode="External"/><Relationship Id="rId3" Type="http://schemas.openxmlformats.org/officeDocument/2006/relationships/hyperlink" Target="https://www.youtube.com/watch?v=Se8rN-MAWN0" TargetMode="External"/><Relationship Id="rId7" Type="http://schemas.openxmlformats.org/officeDocument/2006/relationships/hyperlink" Target="https://stackoverflow.com/questions/36215256/how-to-click-the-li-in-the-dropdown-programmatically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s://www.youtube.com/watch?v=TGSA1aXc4yE" TargetMode="External"/><Relationship Id="rId1" Type="http://schemas.openxmlformats.org/officeDocument/2006/relationships/hyperlink" Target="https://stackoverflow.com/questions/8183698/how-do-i-convert-hhmmss-000-to-milliseconds-in-excel" TargetMode="External"/><Relationship Id="rId6" Type="http://schemas.openxmlformats.org/officeDocument/2006/relationships/hyperlink" Target="https://github.com/nsebhastian/javascript-csv-array-example" TargetMode="External"/><Relationship Id="rId11" Type="http://schemas.openxmlformats.org/officeDocument/2006/relationships/hyperlink" Target="https://bootstrapious.com/p/bootstrap-navbar-with-logo" TargetMode="External"/><Relationship Id="rId5" Type="http://schemas.openxmlformats.org/officeDocument/2006/relationships/hyperlink" Target="https://sebhastian.com/javascript-csv-to-array/" TargetMode="External"/><Relationship Id="rId10" Type="http://schemas.openxmlformats.org/officeDocument/2006/relationships/hyperlink" Target="https://www.javatpoint.com/oprweb/test.jsp?filename=how-to-create-dropdown-list-using-javascript1" TargetMode="External"/><Relationship Id="rId4" Type="http://schemas.openxmlformats.org/officeDocument/2006/relationships/hyperlink" Target="https://www.youtube.com/watch?v=Qu542zr1cZ8" TargetMode="External"/><Relationship Id="rId9" Type="http://schemas.openxmlformats.org/officeDocument/2006/relationships/hyperlink" Target="https://www.w3schools.com/howto/tryit.asp?filename=tryhow_css_dropdown_navbar_click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t0jqEJK6oD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C8D8E-C8CA-499D-9E58-F41547D49F8E}">
  <sheetPr codeName="Sheet6"/>
  <dimension ref="A1:G40"/>
  <sheetViews>
    <sheetView zoomScale="190" zoomScaleNormal="190" workbookViewId="0">
      <selection activeCell="B10" sqref="B10"/>
    </sheetView>
  </sheetViews>
  <sheetFormatPr defaultRowHeight="15"/>
  <cols>
    <col min="1" max="1" width="19.85546875" customWidth="1"/>
    <col min="2" max="2" width="22.85546875" customWidth="1"/>
    <col min="3" max="3" width="14.5703125" customWidth="1"/>
    <col min="7" max="7" width="45.28515625" customWidth="1"/>
  </cols>
  <sheetData>
    <row r="1" spans="1:7" s="6" customFormat="1" ht="18.75">
      <c r="A1" s="7" t="s">
        <v>32</v>
      </c>
      <c r="B1" s="7" t="s">
        <v>33</v>
      </c>
      <c r="C1" s="7" t="s">
        <v>63</v>
      </c>
      <c r="D1" s="7"/>
      <c r="E1" s="7"/>
      <c r="F1" s="7"/>
      <c r="G1" s="7" t="s">
        <v>34</v>
      </c>
    </row>
    <row r="2" spans="1:7" ht="18.75">
      <c r="A2" s="8" t="s">
        <v>65</v>
      </c>
      <c r="B2" s="8" t="s">
        <v>72</v>
      </c>
      <c r="C2" s="8">
        <f t="shared" ref="C2:C40" si="0">RIGHT(B2,3)+(MID(B2,4,2)*1000)+(LEFT(B2,2)*60000)</f>
        <v>26971</v>
      </c>
      <c r="D2" s="8"/>
      <c r="E2" s="8"/>
      <c r="F2" s="8"/>
      <c r="G2" s="8" t="s">
        <v>35</v>
      </c>
    </row>
    <row r="3" spans="1:7" ht="18.75">
      <c r="A3" s="8" t="s">
        <v>65</v>
      </c>
      <c r="B3" s="8" t="s">
        <v>74</v>
      </c>
      <c r="C3" s="8">
        <f t="shared" si="0"/>
        <v>27568</v>
      </c>
      <c r="D3" s="8"/>
      <c r="E3" s="8"/>
      <c r="F3" s="8"/>
      <c r="G3" s="8" t="s">
        <v>36</v>
      </c>
    </row>
    <row r="4" spans="1:7" ht="18.75">
      <c r="A4" s="8" t="s">
        <v>70</v>
      </c>
      <c r="B4" t="s">
        <v>73</v>
      </c>
      <c r="C4" s="8">
        <f t="shared" si="0"/>
        <v>30192</v>
      </c>
      <c r="D4" s="8"/>
      <c r="E4" s="8"/>
      <c r="F4" s="8"/>
      <c r="G4" s="8" t="s">
        <v>37</v>
      </c>
    </row>
    <row r="5" spans="1:7" ht="18.75">
      <c r="A5" s="8" t="s">
        <v>69</v>
      </c>
      <c r="B5" s="8" t="s">
        <v>78</v>
      </c>
      <c r="C5" s="8">
        <f t="shared" si="0"/>
        <v>31052</v>
      </c>
      <c r="D5" s="8"/>
      <c r="E5" s="8"/>
      <c r="F5" s="8"/>
      <c r="G5" s="8" t="s">
        <v>38</v>
      </c>
    </row>
    <row r="6" spans="1:7" ht="18.75">
      <c r="A6" s="8" t="s">
        <v>69</v>
      </c>
      <c r="B6" s="8" t="s">
        <v>76</v>
      </c>
      <c r="C6" s="8">
        <f t="shared" si="0"/>
        <v>31078</v>
      </c>
      <c r="D6" s="8"/>
      <c r="E6" s="8"/>
      <c r="F6" s="8"/>
      <c r="G6" s="8" t="s">
        <v>39</v>
      </c>
    </row>
    <row r="7" spans="1:7" ht="18.75">
      <c r="A7" s="8" t="s">
        <v>70</v>
      </c>
      <c r="B7" s="8" t="s">
        <v>77</v>
      </c>
      <c r="C7" s="8">
        <f t="shared" si="0"/>
        <v>31336</v>
      </c>
      <c r="D7" s="8"/>
      <c r="E7" s="8"/>
      <c r="F7" s="8"/>
      <c r="G7" s="8" t="s">
        <v>40</v>
      </c>
    </row>
    <row r="8" spans="1:7" ht="18.75">
      <c r="A8" s="8" t="s">
        <v>66</v>
      </c>
      <c r="B8" s="8" t="s">
        <v>75</v>
      </c>
      <c r="C8" s="8">
        <f t="shared" si="0"/>
        <v>31405</v>
      </c>
      <c r="D8" s="8"/>
      <c r="E8" s="8"/>
      <c r="F8" s="8"/>
      <c r="G8" s="8" t="s">
        <v>41</v>
      </c>
    </row>
    <row r="9" spans="1:7" ht="18.75">
      <c r="A9" s="8" t="s">
        <v>66</v>
      </c>
      <c r="B9" s="8" t="s">
        <v>71</v>
      </c>
      <c r="C9" s="8">
        <f t="shared" si="0"/>
        <v>31994</v>
      </c>
      <c r="D9" s="8"/>
      <c r="E9" s="8"/>
      <c r="F9" s="8"/>
      <c r="G9" s="8" t="s">
        <v>42</v>
      </c>
    </row>
    <row r="10" spans="1:7" ht="18.75">
      <c r="A10" s="8"/>
      <c r="B10" s="8"/>
      <c r="C10" s="8" t="e">
        <f t="shared" si="0"/>
        <v>#VALUE!</v>
      </c>
      <c r="D10" s="8"/>
      <c r="E10" s="8"/>
      <c r="F10" s="8"/>
      <c r="G10" s="8" t="s">
        <v>43</v>
      </c>
    </row>
    <row r="11" spans="1:7" ht="18.75">
      <c r="A11" s="8"/>
      <c r="B11" s="8"/>
      <c r="C11" s="8" t="e">
        <f t="shared" si="0"/>
        <v>#VALUE!</v>
      </c>
      <c r="D11" s="8"/>
      <c r="E11" s="8"/>
      <c r="F11" s="8"/>
      <c r="G11" s="8" t="s">
        <v>44</v>
      </c>
    </row>
    <row r="12" spans="1:7" ht="18.75">
      <c r="A12" s="8"/>
      <c r="B12" s="8"/>
      <c r="C12" s="8" t="e">
        <f t="shared" si="0"/>
        <v>#VALUE!</v>
      </c>
      <c r="D12" s="8"/>
      <c r="E12" s="8"/>
      <c r="F12" s="8"/>
      <c r="G12" s="8" t="s">
        <v>45</v>
      </c>
    </row>
    <row r="13" spans="1:7" ht="18.75">
      <c r="A13" s="8"/>
      <c r="B13" s="8"/>
      <c r="C13" s="8" t="e">
        <f t="shared" si="0"/>
        <v>#VALUE!</v>
      </c>
      <c r="D13" s="8"/>
      <c r="E13" s="8"/>
      <c r="F13" s="8"/>
      <c r="G13" s="8" t="s">
        <v>46</v>
      </c>
    </row>
    <row r="14" spans="1:7" ht="18.75">
      <c r="A14" s="8"/>
      <c r="B14" s="8"/>
      <c r="C14" s="8" t="e">
        <f t="shared" si="0"/>
        <v>#VALUE!</v>
      </c>
      <c r="D14" s="8"/>
      <c r="E14" s="8"/>
      <c r="F14" s="8"/>
      <c r="G14" s="8" t="s">
        <v>47</v>
      </c>
    </row>
    <row r="15" spans="1:7" ht="18.75">
      <c r="A15" s="8"/>
      <c r="B15" s="8"/>
      <c r="C15" s="8" t="e">
        <f t="shared" si="0"/>
        <v>#VALUE!</v>
      </c>
      <c r="D15" s="8"/>
      <c r="E15" s="8"/>
      <c r="F15" s="8"/>
      <c r="G15" s="8" t="s">
        <v>48</v>
      </c>
    </row>
    <row r="16" spans="1:7" ht="18.75">
      <c r="A16" s="8"/>
      <c r="B16" s="8"/>
      <c r="C16" s="8" t="e">
        <f t="shared" si="0"/>
        <v>#VALUE!</v>
      </c>
      <c r="D16" s="8"/>
      <c r="E16" s="8"/>
      <c r="F16" s="8"/>
      <c r="G16" s="8" t="s">
        <v>49</v>
      </c>
    </row>
    <row r="17" spans="1:7" ht="18.75">
      <c r="A17" s="8"/>
      <c r="B17" s="8"/>
      <c r="C17" s="8" t="e">
        <f t="shared" si="0"/>
        <v>#VALUE!</v>
      </c>
      <c r="D17" s="8"/>
      <c r="E17" s="8"/>
      <c r="F17" s="8"/>
      <c r="G17" s="8" t="s">
        <v>50</v>
      </c>
    </row>
    <row r="18" spans="1:7" ht="18.75">
      <c r="A18" s="8"/>
      <c r="B18" s="8"/>
      <c r="C18" s="8" t="e">
        <f t="shared" si="0"/>
        <v>#VALUE!</v>
      </c>
      <c r="D18" s="8"/>
      <c r="E18" s="8"/>
      <c r="F18" s="8"/>
      <c r="G18" s="8" t="s">
        <v>51</v>
      </c>
    </row>
    <row r="19" spans="1:7" ht="18.75">
      <c r="A19" s="8"/>
      <c r="B19" s="8"/>
      <c r="C19" s="8" t="e">
        <f t="shared" si="0"/>
        <v>#VALUE!</v>
      </c>
      <c r="D19" s="8"/>
      <c r="E19" s="8"/>
      <c r="F19" s="8"/>
      <c r="G19" s="8" t="s">
        <v>52</v>
      </c>
    </row>
    <row r="20" spans="1:7" ht="18.75">
      <c r="A20" s="8"/>
      <c r="B20" s="8"/>
      <c r="C20" s="8" t="e">
        <f t="shared" si="0"/>
        <v>#VALUE!</v>
      </c>
      <c r="D20" s="8"/>
      <c r="E20" s="8"/>
      <c r="F20" s="8"/>
      <c r="G20" s="8" t="s">
        <v>53</v>
      </c>
    </row>
    <row r="21" spans="1:7" ht="18.75">
      <c r="A21" s="8"/>
      <c r="B21" s="8"/>
      <c r="C21" s="8" t="e">
        <f t="shared" si="0"/>
        <v>#VALUE!</v>
      </c>
      <c r="D21" s="8"/>
      <c r="E21" s="8"/>
      <c r="F21" s="8"/>
      <c r="G21" s="8" t="s">
        <v>54</v>
      </c>
    </row>
    <row r="22" spans="1:7" ht="18.75">
      <c r="A22" s="8"/>
      <c r="B22" s="8"/>
      <c r="C22" s="8" t="e">
        <f t="shared" si="0"/>
        <v>#VALUE!</v>
      </c>
      <c r="D22" s="8"/>
      <c r="E22" s="8"/>
      <c r="F22" s="8"/>
      <c r="G22" s="8" t="s">
        <v>55</v>
      </c>
    </row>
    <row r="23" spans="1:7" ht="18.75">
      <c r="A23" s="8"/>
      <c r="B23" s="8"/>
      <c r="C23" s="8" t="e">
        <f t="shared" si="0"/>
        <v>#VALUE!</v>
      </c>
      <c r="D23" s="8"/>
      <c r="E23" s="8"/>
      <c r="F23" s="8"/>
      <c r="G23" s="8" t="s">
        <v>56</v>
      </c>
    </row>
    <row r="24" spans="1:7" ht="18.75">
      <c r="A24" s="8"/>
      <c r="B24" s="8"/>
      <c r="C24" s="8" t="e">
        <f t="shared" si="0"/>
        <v>#VALUE!</v>
      </c>
      <c r="D24" s="8"/>
      <c r="E24" s="8"/>
      <c r="F24" s="8"/>
      <c r="G24" s="8" t="s">
        <v>57</v>
      </c>
    </row>
    <row r="25" spans="1:7" ht="18.75">
      <c r="A25" s="8"/>
      <c r="B25" s="8"/>
      <c r="C25" s="8" t="e">
        <f t="shared" si="0"/>
        <v>#VALUE!</v>
      </c>
      <c r="D25" s="8"/>
      <c r="E25" s="8"/>
      <c r="F25" s="8"/>
      <c r="G25" s="8" t="s">
        <v>58</v>
      </c>
    </row>
    <row r="26" spans="1:7" ht="18.75">
      <c r="A26" s="8"/>
      <c r="B26" s="8"/>
      <c r="C26" s="8" t="e">
        <f t="shared" si="0"/>
        <v>#VALUE!</v>
      </c>
      <c r="D26" s="8"/>
      <c r="E26" s="8"/>
      <c r="F26" s="8"/>
      <c r="G26" s="8" t="s">
        <v>59</v>
      </c>
    </row>
    <row r="27" spans="1:7" ht="18.75">
      <c r="A27" s="8"/>
      <c r="B27" s="8"/>
      <c r="C27" s="8" t="e">
        <f t="shared" si="0"/>
        <v>#VALUE!</v>
      </c>
      <c r="D27" s="8"/>
      <c r="E27" s="8"/>
      <c r="F27" s="8"/>
      <c r="G27" s="8" t="s">
        <v>60</v>
      </c>
    </row>
    <row r="28" spans="1:7" ht="18.75">
      <c r="A28" s="8"/>
      <c r="B28" s="8"/>
      <c r="C28" s="8" t="e">
        <f t="shared" si="0"/>
        <v>#VALUE!</v>
      </c>
      <c r="D28" s="8"/>
      <c r="E28" s="8"/>
      <c r="F28" s="8"/>
      <c r="G28" s="8" t="s">
        <v>61</v>
      </c>
    </row>
    <row r="29" spans="1:7" ht="18.75">
      <c r="A29" s="8"/>
      <c r="B29" s="8"/>
      <c r="C29" s="8" t="e">
        <f t="shared" si="0"/>
        <v>#VALUE!</v>
      </c>
      <c r="D29" s="8"/>
      <c r="E29" s="8"/>
      <c r="F29" s="8"/>
      <c r="G29" s="8" t="s">
        <v>62</v>
      </c>
    </row>
    <row r="30" spans="1:7" ht="18.75">
      <c r="A30" s="8"/>
      <c r="B30" s="8"/>
      <c r="C30" s="8" t="e">
        <f t="shared" si="0"/>
        <v>#VALUE!</v>
      </c>
      <c r="D30" s="8"/>
      <c r="E30" s="8"/>
      <c r="F30" s="8"/>
      <c r="G30" s="8" t="s">
        <v>65</v>
      </c>
    </row>
    <row r="31" spans="1:7" ht="18.75">
      <c r="A31" s="8"/>
      <c r="B31" s="8"/>
      <c r="C31" s="8" t="e">
        <f t="shared" si="0"/>
        <v>#VALUE!</v>
      </c>
      <c r="D31" s="8"/>
      <c r="E31" s="8"/>
      <c r="F31" s="8"/>
      <c r="G31" s="8" t="s">
        <v>66</v>
      </c>
    </row>
    <row r="32" spans="1:7" ht="18.75">
      <c r="A32" s="8"/>
      <c r="B32" s="8"/>
      <c r="C32" s="8" t="e">
        <f t="shared" si="0"/>
        <v>#VALUE!</v>
      </c>
      <c r="D32" s="8"/>
      <c r="E32" s="8"/>
      <c r="F32" s="8"/>
      <c r="G32" s="8" t="s">
        <v>67</v>
      </c>
    </row>
    <row r="33" spans="1:7" ht="18.75">
      <c r="A33" s="8"/>
      <c r="B33" s="8"/>
      <c r="C33" s="8" t="e">
        <f t="shared" si="0"/>
        <v>#VALUE!</v>
      </c>
      <c r="D33" s="8"/>
      <c r="E33" s="8"/>
      <c r="F33" s="8"/>
      <c r="G33" s="8" t="s">
        <v>68</v>
      </c>
    </row>
    <row r="34" spans="1:7" ht="18.75">
      <c r="A34" s="8"/>
      <c r="B34" s="8"/>
      <c r="C34" s="8" t="e">
        <f t="shared" si="0"/>
        <v>#VALUE!</v>
      </c>
      <c r="D34" s="8"/>
      <c r="E34" s="8"/>
      <c r="F34" s="8"/>
      <c r="G34" s="8" t="s">
        <v>69</v>
      </c>
    </row>
    <row r="35" spans="1:7" ht="18.75">
      <c r="A35" s="8"/>
      <c r="B35" s="8"/>
      <c r="C35" s="8" t="e">
        <f t="shared" si="0"/>
        <v>#VALUE!</v>
      </c>
      <c r="D35" s="8"/>
      <c r="E35" s="8"/>
      <c r="F35" s="8"/>
      <c r="G35" s="8" t="s">
        <v>70</v>
      </c>
    </row>
    <row r="36" spans="1:7" ht="18.75">
      <c r="A36" s="8"/>
      <c r="B36" s="8"/>
      <c r="C36" s="8" t="e">
        <f t="shared" si="0"/>
        <v>#VALUE!</v>
      </c>
      <c r="D36" s="8"/>
      <c r="E36" s="8"/>
      <c r="F36" s="8"/>
      <c r="G36" s="8"/>
    </row>
    <row r="37" spans="1:7" ht="18.75">
      <c r="A37" s="8"/>
      <c r="B37" s="8"/>
      <c r="C37" s="8" t="e">
        <f t="shared" si="0"/>
        <v>#VALUE!</v>
      </c>
      <c r="D37" s="8"/>
      <c r="E37" s="8"/>
      <c r="F37" s="8"/>
      <c r="G37" s="8"/>
    </row>
    <row r="38" spans="1:7" ht="18.75">
      <c r="A38" s="8"/>
      <c r="B38" s="8"/>
      <c r="C38" s="8" t="e">
        <f t="shared" si="0"/>
        <v>#VALUE!</v>
      </c>
      <c r="D38" s="8"/>
      <c r="E38" s="8"/>
      <c r="F38" s="8"/>
      <c r="G38" s="8"/>
    </row>
    <row r="39" spans="1:7" ht="18.75">
      <c r="A39" s="8"/>
      <c r="B39" s="8"/>
      <c r="C39" s="8" t="e">
        <f t="shared" si="0"/>
        <v>#VALUE!</v>
      </c>
      <c r="D39" s="8"/>
      <c r="E39" s="8"/>
      <c r="F39" s="8"/>
      <c r="G39" s="8"/>
    </row>
    <row r="40" spans="1:7" ht="18.75">
      <c r="A40" s="8"/>
      <c r="B40" s="8"/>
      <c r="C40" s="8" t="e">
        <f t="shared" si="0"/>
        <v>#VALUE!</v>
      </c>
      <c r="D40" s="8"/>
      <c r="E40" s="8"/>
      <c r="F40" s="8"/>
      <c r="G40" s="8"/>
    </row>
  </sheetData>
  <sortState xmlns:xlrd2="http://schemas.microsoft.com/office/spreadsheetml/2017/richdata2" ref="A2:C40">
    <sortCondition ref="C2"/>
  </sortState>
  <phoneticPr fontId="3" type="noConversion"/>
  <dataValidations count="1">
    <dataValidation type="list" allowBlank="1" showInputMessage="1" showErrorMessage="1" sqref="A2:A40" xr:uid="{24742805-26E6-49E9-9B27-B061AC488B8C}">
      <formula1>team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53173-9888-4A80-9A1D-FC6F83799A19}">
  <sheetPr codeName="Sheet8"/>
  <dimension ref="A1:G40"/>
  <sheetViews>
    <sheetView tabSelected="1" zoomScale="175" zoomScaleNormal="175" workbookViewId="0">
      <selection activeCell="A15" sqref="A15"/>
    </sheetView>
  </sheetViews>
  <sheetFormatPr defaultRowHeight="15"/>
  <cols>
    <col min="1" max="1" width="19.85546875" customWidth="1"/>
    <col min="2" max="2" width="22.85546875" customWidth="1"/>
    <col min="3" max="3" width="14.5703125" customWidth="1"/>
    <col min="7" max="7" width="45.28515625" customWidth="1"/>
  </cols>
  <sheetData>
    <row r="1" spans="1:7" s="6" customFormat="1" ht="18.75">
      <c r="A1" s="7" t="s">
        <v>32</v>
      </c>
      <c r="B1" s="7" t="s">
        <v>33</v>
      </c>
      <c r="C1" s="7" t="s">
        <v>63</v>
      </c>
      <c r="D1" s="7"/>
      <c r="E1" s="7"/>
      <c r="F1" s="7"/>
      <c r="G1" s="7" t="s">
        <v>34</v>
      </c>
    </row>
    <row r="2" spans="1:7" ht="18.75">
      <c r="A2" s="8" t="s">
        <v>66</v>
      </c>
      <c r="B2" s="8" t="s">
        <v>83</v>
      </c>
      <c r="C2" s="8">
        <f t="shared" ref="C2:C40" si="0">RIGHT(B2,3)+(MID(B2,4,2)*1000)+(LEFT(B2,2)*60000)</f>
        <v>35959</v>
      </c>
      <c r="D2" s="8"/>
      <c r="E2" s="8"/>
      <c r="F2" s="8"/>
      <c r="G2" s="8" t="s">
        <v>35</v>
      </c>
    </row>
    <row r="3" spans="1:7" ht="18.75">
      <c r="A3" s="8" t="s">
        <v>66</v>
      </c>
      <c r="B3" s="8" t="s">
        <v>79</v>
      </c>
      <c r="C3" s="8">
        <f t="shared" si="0"/>
        <v>36402</v>
      </c>
      <c r="D3" s="8"/>
      <c r="E3" s="8"/>
      <c r="F3" s="8"/>
      <c r="G3" s="8" t="s">
        <v>36</v>
      </c>
    </row>
    <row r="4" spans="1:7" ht="18.75">
      <c r="A4" s="8" t="s">
        <v>69</v>
      </c>
      <c r="B4" s="8" t="s">
        <v>86</v>
      </c>
      <c r="C4" s="8">
        <f t="shared" si="0"/>
        <v>42121</v>
      </c>
      <c r="D4" s="8"/>
      <c r="E4" s="8"/>
      <c r="F4" s="8"/>
      <c r="G4" s="8" t="s">
        <v>37</v>
      </c>
    </row>
    <row r="5" spans="1:7" ht="18.75">
      <c r="A5" s="8" t="s">
        <v>65</v>
      </c>
      <c r="B5" t="s">
        <v>80</v>
      </c>
      <c r="C5" s="8">
        <f t="shared" si="0"/>
        <v>44624</v>
      </c>
      <c r="D5" s="8"/>
      <c r="E5" s="8"/>
      <c r="F5" s="8"/>
      <c r="G5" s="8" t="s">
        <v>38</v>
      </c>
    </row>
    <row r="6" spans="1:7" ht="18.75">
      <c r="A6" s="8" t="s">
        <v>65</v>
      </c>
      <c r="B6" s="8" t="s">
        <v>84</v>
      </c>
      <c r="C6" s="8">
        <f t="shared" si="0"/>
        <v>49510</v>
      </c>
      <c r="D6" s="8"/>
      <c r="E6" s="8"/>
      <c r="F6" s="8"/>
      <c r="G6" s="8" t="s">
        <v>39</v>
      </c>
    </row>
    <row r="7" spans="1:7" ht="18.75">
      <c r="A7" s="8" t="s">
        <v>69</v>
      </c>
      <c r="B7" s="8" t="s">
        <v>85</v>
      </c>
      <c r="C7" s="8">
        <f t="shared" si="0"/>
        <v>600999</v>
      </c>
      <c r="D7" s="8"/>
      <c r="E7" s="8"/>
      <c r="F7" s="8"/>
      <c r="G7" s="8" t="s">
        <v>40</v>
      </c>
    </row>
    <row r="8" spans="1:7" ht="18.75">
      <c r="A8" s="8" t="s">
        <v>70</v>
      </c>
      <c r="B8" s="8" t="s">
        <v>85</v>
      </c>
      <c r="C8" s="8">
        <f t="shared" si="0"/>
        <v>600999</v>
      </c>
      <c r="D8" s="8"/>
      <c r="E8" s="8"/>
      <c r="F8" s="8"/>
      <c r="G8" s="8" t="s">
        <v>41</v>
      </c>
    </row>
    <row r="9" spans="1:7" ht="18.75">
      <c r="A9" s="8" t="s">
        <v>69</v>
      </c>
      <c r="B9" s="8" t="s">
        <v>81</v>
      </c>
      <c r="C9" s="8">
        <f t="shared" si="0"/>
        <v>720999</v>
      </c>
      <c r="D9" s="8"/>
      <c r="E9" s="8"/>
      <c r="F9" s="8"/>
      <c r="G9" s="8" t="s">
        <v>42</v>
      </c>
    </row>
    <row r="10" spans="1:7" ht="18.75">
      <c r="A10" s="8" t="s">
        <v>70</v>
      </c>
      <c r="B10" s="8" t="s">
        <v>82</v>
      </c>
      <c r="C10" s="8">
        <f t="shared" si="0"/>
        <v>780999</v>
      </c>
      <c r="D10" s="8"/>
      <c r="E10" s="8"/>
      <c r="F10" s="8"/>
      <c r="G10" s="8" t="s">
        <v>43</v>
      </c>
    </row>
    <row r="11" spans="1:7" ht="18.75">
      <c r="A11" s="8" t="s">
        <v>70</v>
      </c>
      <c r="B11" s="8"/>
      <c r="C11" s="8" t="e">
        <f t="shared" si="0"/>
        <v>#VALUE!</v>
      </c>
      <c r="D11" s="8"/>
      <c r="E11" s="8"/>
      <c r="F11" s="8"/>
      <c r="G11" s="8" t="s">
        <v>44</v>
      </c>
    </row>
    <row r="12" spans="1:7" ht="18.75">
      <c r="A12" s="8"/>
      <c r="B12" s="8"/>
      <c r="C12" s="8" t="e">
        <f t="shared" si="0"/>
        <v>#VALUE!</v>
      </c>
      <c r="D12" s="8"/>
      <c r="E12" s="8"/>
      <c r="F12" s="8"/>
      <c r="G12" s="8" t="s">
        <v>45</v>
      </c>
    </row>
    <row r="13" spans="1:7" ht="18.75">
      <c r="A13" s="8"/>
      <c r="B13" s="8"/>
      <c r="C13" s="8" t="e">
        <f t="shared" si="0"/>
        <v>#VALUE!</v>
      </c>
      <c r="D13" s="8"/>
      <c r="E13" s="8"/>
      <c r="F13" s="8"/>
      <c r="G13" s="8" t="s">
        <v>46</v>
      </c>
    </row>
    <row r="14" spans="1:7" ht="18.75">
      <c r="A14" s="8"/>
      <c r="B14" s="8"/>
      <c r="C14" s="8" t="e">
        <f t="shared" si="0"/>
        <v>#VALUE!</v>
      </c>
      <c r="D14" s="8"/>
      <c r="E14" s="8"/>
      <c r="F14" s="8"/>
      <c r="G14" s="8" t="s">
        <v>47</v>
      </c>
    </row>
    <row r="15" spans="1:7" ht="18.75">
      <c r="A15" s="8"/>
      <c r="B15" s="8"/>
      <c r="C15" s="8" t="e">
        <f t="shared" si="0"/>
        <v>#VALUE!</v>
      </c>
      <c r="D15" s="8"/>
      <c r="E15" s="8"/>
      <c r="F15" s="8"/>
      <c r="G15" s="8" t="s">
        <v>48</v>
      </c>
    </row>
    <row r="16" spans="1:7" ht="18.75">
      <c r="A16" s="8"/>
      <c r="B16" s="8"/>
      <c r="C16" s="8" t="e">
        <f t="shared" si="0"/>
        <v>#VALUE!</v>
      </c>
      <c r="D16" s="8"/>
      <c r="E16" s="8"/>
      <c r="F16" s="8"/>
      <c r="G16" s="8" t="s">
        <v>49</v>
      </c>
    </row>
    <row r="17" spans="1:7" ht="18.75">
      <c r="A17" s="8"/>
      <c r="B17" s="8"/>
      <c r="C17" s="8" t="e">
        <f t="shared" si="0"/>
        <v>#VALUE!</v>
      </c>
      <c r="D17" s="8"/>
      <c r="E17" s="8"/>
      <c r="F17" s="8"/>
      <c r="G17" s="8" t="s">
        <v>50</v>
      </c>
    </row>
    <row r="18" spans="1:7" ht="18.75">
      <c r="A18" s="8"/>
      <c r="B18" s="8"/>
      <c r="C18" s="8" t="e">
        <f t="shared" si="0"/>
        <v>#VALUE!</v>
      </c>
      <c r="D18" s="8"/>
      <c r="E18" s="8"/>
      <c r="F18" s="8"/>
      <c r="G18" s="8" t="s">
        <v>51</v>
      </c>
    </row>
    <row r="19" spans="1:7" ht="18.75">
      <c r="A19" s="8"/>
      <c r="B19" s="8"/>
      <c r="C19" s="8" t="e">
        <f t="shared" si="0"/>
        <v>#VALUE!</v>
      </c>
      <c r="D19" s="8"/>
      <c r="E19" s="8"/>
      <c r="F19" s="8"/>
      <c r="G19" s="8" t="s">
        <v>52</v>
      </c>
    </row>
    <row r="20" spans="1:7" ht="18.75">
      <c r="A20" s="8"/>
      <c r="B20" s="8"/>
      <c r="C20" s="8" t="e">
        <f t="shared" si="0"/>
        <v>#VALUE!</v>
      </c>
      <c r="D20" s="8"/>
      <c r="E20" s="8"/>
      <c r="F20" s="8"/>
      <c r="G20" s="8" t="s">
        <v>53</v>
      </c>
    </row>
    <row r="21" spans="1:7" ht="18.75">
      <c r="A21" s="8"/>
      <c r="B21" s="8"/>
      <c r="C21" s="8" t="e">
        <f t="shared" si="0"/>
        <v>#VALUE!</v>
      </c>
      <c r="D21" s="8"/>
      <c r="E21" s="8"/>
      <c r="F21" s="8"/>
      <c r="G21" s="8" t="s">
        <v>54</v>
      </c>
    </row>
    <row r="22" spans="1:7" ht="18.75">
      <c r="A22" s="8"/>
      <c r="B22" s="8"/>
      <c r="C22" s="8" t="e">
        <f t="shared" si="0"/>
        <v>#VALUE!</v>
      </c>
      <c r="D22" s="8"/>
      <c r="E22" s="8"/>
      <c r="F22" s="8"/>
      <c r="G22" s="8" t="s">
        <v>55</v>
      </c>
    </row>
    <row r="23" spans="1:7" ht="18.75">
      <c r="A23" s="8"/>
      <c r="B23" s="8"/>
      <c r="C23" s="8" t="e">
        <f t="shared" si="0"/>
        <v>#VALUE!</v>
      </c>
      <c r="D23" s="8"/>
      <c r="E23" s="8"/>
      <c r="F23" s="8"/>
      <c r="G23" s="8" t="s">
        <v>56</v>
      </c>
    </row>
    <row r="24" spans="1:7" ht="18.75">
      <c r="A24" s="8"/>
      <c r="B24" s="8"/>
      <c r="C24" s="8" t="e">
        <f t="shared" si="0"/>
        <v>#VALUE!</v>
      </c>
      <c r="D24" s="8"/>
      <c r="E24" s="8"/>
      <c r="F24" s="8"/>
      <c r="G24" s="8" t="s">
        <v>57</v>
      </c>
    </row>
    <row r="25" spans="1:7" ht="18.75">
      <c r="A25" s="8"/>
      <c r="B25" s="8"/>
      <c r="C25" s="8" t="e">
        <f t="shared" si="0"/>
        <v>#VALUE!</v>
      </c>
      <c r="D25" s="8"/>
      <c r="E25" s="8"/>
      <c r="F25" s="8"/>
      <c r="G25" s="8" t="s">
        <v>58</v>
      </c>
    </row>
    <row r="26" spans="1:7" ht="18.75">
      <c r="A26" s="8"/>
      <c r="B26" s="8"/>
      <c r="C26" s="8" t="e">
        <f t="shared" si="0"/>
        <v>#VALUE!</v>
      </c>
      <c r="D26" s="8"/>
      <c r="E26" s="8"/>
      <c r="F26" s="8"/>
      <c r="G26" s="8" t="s">
        <v>59</v>
      </c>
    </row>
    <row r="27" spans="1:7" ht="18.75">
      <c r="A27" s="8"/>
      <c r="B27" s="8"/>
      <c r="C27" s="8" t="e">
        <f t="shared" si="0"/>
        <v>#VALUE!</v>
      </c>
      <c r="D27" s="8"/>
      <c r="E27" s="8"/>
      <c r="F27" s="8"/>
      <c r="G27" s="8" t="s">
        <v>60</v>
      </c>
    </row>
    <row r="28" spans="1:7" ht="18.75">
      <c r="A28" s="8"/>
      <c r="B28" s="8"/>
      <c r="C28" s="8" t="e">
        <f t="shared" si="0"/>
        <v>#VALUE!</v>
      </c>
      <c r="D28" s="8"/>
      <c r="E28" s="8"/>
      <c r="F28" s="8"/>
      <c r="G28" s="8" t="s">
        <v>61</v>
      </c>
    </row>
    <row r="29" spans="1:7" ht="18.75">
      <c r="A29" s="8"/>
      <c r="B29" s="8"/>
      <c r="C29" s="8" t="e">
        <f t="shared" si="0"/>
        <v>#VALUE!</v>
      </c>
      <c r="D29" s="8"/>
      <c r="E29" s="8"/>
      <c r="F29" s="8"/>
      <c r="G29" s="8" t="s">
        <v>62</v>
      </c>
    </row>
    <row r="30" spans="1:7" ht="18.75">
      <c r="A30" s="8"/>
      <c r="B30" s="8"/>
      <c r="C30" s="8" t="e">
        <f t="shared" si="0"/>
        <v>#VALUE!</v>
      </c>
      <c r="D30" s="8"/>
      <c r="E30" s="8"/>
      <c r="F30" s="8"/>
      <c r="G30" s="8" t="s">
        <v>65</v>
      </c>
    </row>
    <row r="31" spans="1:7" ht="18.75">
      <c r="A31" s="8"/>
      <c r="B31" s="8"/>
      <c r="C31" s="8" t="e">
        <f t="shared" si="0"/>
        <v>#VALUE!</v>
      </c>
      <c r="D31" s="8"/>
      <c r="E31" s="8"/>
      <c r="F31" s="8"/>
      <c r="G31" s="8" t="s">
        <v>66</v>
      </c>
    </row>
    <row r="32" spans="1:7" ht="18.75">
      <c r="A32" s="8"/>
      <c r="B32" s="8"/>
      <c r="C32" s="8" t="e">
        <f t="shared" si="0"/>
        <v>#VALUE!</v>
      </c>
      <c r="D32" s="8"/>
      <c r="E32" s="8"/>
      <c r="F32" s="8"/>
      <c r="G32" s="8" t="s">
        <v>67</v>
      </c>
    </row>
    <row r="33" spans="1:7" ht="18.75">
      <c r="A33" s="8"/>
      <c r="B33" s="8"/>
      <c r="C33" s="8" t="e">
        <f t="shared" si="0"/>
        <v>#VALUE!</v>
      </c>
      <c r="D33" s="8"/>
      <c r="E33" s="8"/>
      <c r="F33" s="8"/>
      <c r="G33" s="8" t="s">
        <v>68</v>
      </c>
    </row>
    <row r="34" spans="1:7" ht="18.75">
      <c r="A34" s="8"/>
      <c r="B34" s="8"/>
      <c r="C34" s="8" t="e">
        <f t="shared" si="0"/>
        <v>#VALUE!</v>
      </c>
      <c r="D34" s="8"/>
      <c r="E34" s="8"/>
      <c r="F34" s="8"/>
      <c r="G34" s="8" t="s">
        <v>69</v>
      </c>
    </row>
    <row r="35" spans="1:7" ht="18.75">
      <c r="A35" s="8"/>
      <c r="B35" s="8"/>
      <c r="C35" s="8" t="e">
        <f t="shared" si="0"/>
        <v>#VALUE!</v>
      </c>
      <c r="D35" s="8"/>
      <c r="E35" s="8"/>
      <c r="F35" s="8"/>
      <c r="G35" s="8" t="s">
        <v>70</v>
      </c>
    </row>
    <row r="36" spans="1:7" ht="18.75">
      <c r="A36" s="8"/>
      <c r="B36" s="8"/>
      <c r="C36" s="8" t="e">
        <f t="shared" si="0"/>
        <v>#VALUE!</v>
      </c>
      <c r="D36" s="8"/>
      <c r="E36" s="8"/>
      <c r="F36" s="8"/>
      <c r="G36" s="8"/>
    </row>
    <row r="37" spans="1:7" ht="18.75">
      <c r="A37" s="8"/>
      <c r="B37" s="8"/>
      <c r="C37" s="8" t="e">
        <f t="shared" si="0"/>
        <v>#VALUE!</v>
      </c>
      <c r="D37" s="8"/>
      <c r="E37" s="8"/>
      <c r="F37" s="8"/>
      <c r="G37" s="8"/>
    </row>
    <row r="38" spans="1:7" ht="18.75">
      <c r="A38" s="8"/>
      <c r="B38" s="8"/>
      <c r="C38" s="8" t="e">
        <f t="shared" si="0"/>
        <v>#VALUE!</v>
      </c>
      <c r="D38" s="8"/>
      <c r="E38" s="8"/>
      <c r="F38" s="8"/>
      <c r="G38" s="8"/>
    </row>
    <row r="39" spans="1:7" ht="18.75">
      <c r="A39" s="8"/>
      <c r="B39" s="8"/>
      <c r="C39" s="8" t="e">
        <f t="shared" si="0"/>
        <v>#VALUE!</v>
      </c>
      <c r="D39" s="8"/>
      <c r="E39" s="8"/>
      <c r="F39" s="8"/>
      <c r="G39" s="8"/>
    </row>
    <row r="40" spans="1:7" ht="18.75">
      <c r="A40" s="8"/>
      <c r="B40" s="8"/>
      <c r="C40" s="8" t="e">
        <f t="shared" si="0"/>
        <v>#VALUE!</v>
      </c>
      <c r="D40" s="8"/>
      <c r="E40" s="8"/>
      <c r="F40" s="8"/>
      <c r="G40" s="8"/>
    </row>
  </sheetData>
  <sortState xmlns:xlrd2="http://schemas.microsoft.com/office/spreadsheetml/2017/richdata2" ref="A2:B10">
    <sortCondition ref="B2"/>
  </sortState>
  <dataValidations count="1">
    <dataValidation type="list" allowBlank="1" showInputMessage="1" showErrorMessage="1" sqref="A2:A40" xr:uid="{3F9C128D-9504-4D4D-A81A-B3F21BB429D8}">
      <formula1>team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C9E02-55F6-4CEB-A8C2-35B1E7DB2438}">
  <sheetPr codeName="Sheet9"/>
  <dimension ref="A1:H40"/>
  <sheetViews>
    <sheetView zoomScale="115" zoomScaleNormal="115" workbookViewId="0">
      <selection activeCell="B13" sqref="B13"/>
    </sheetView>
  </sheetViews>
  <sheetFormatPr defaultRowHeight="15"/>
  <cols>
    <col min="1" max="1" width="19.85546875" customWidth="1"/>
    <col min="2" max="2" width="22.85546875" customWidth="1"/>
    <col min="3" max="3" width="14.5703125" customWidth="1"/>
    <col min="7" max="7" width="45.28515625" customWidth="1"/>
  </cols>
  <sheetData>
    <row r="1" spans="1:8" s="6" customFormat="1" ht="18.75">
      <c r="A1" s="7" t="s">
        <v>32</v>
      </c>
      <c r="B1" s="7" t="s">
        <v>33</v>
      </c>
      <c r="C1" s="7" t="s">
        <v>63</v>
      </c>
      <c r="D1" s="7"/>
      <c r="E1" s="7"/>
      <c r="F1" s="7"/>
      <c r="G1" s="7" t="s">
        <v>34</v>
      </c>
    </row>
    <row r="2" spans="1:8" ht="18.75">
      <c r="A2" s="8" t="s">
        <v>67</v>
      </c>
      <c r="B2" s="8" t="s">
        <v>89</v>
      </c>
      <c r="C2" s="8">
        <f t="shared" ref="C2:C40" si="0">RIGHT(B2,3)+(MID(B2,4,2)*1000)+(LEFT(B2,2)*60000)</f>
        <v>27043</v>
      </c>
      <c r="D2" s="8"/>
      <c r="E2" s="8"/>
      <c r="F2" s="8"/>
      <c r="G2" s="8" t="s">
        <v>35</v>
      </c>
    </row>
    <row r="3" spans="1:8" ht="18.75">
      <c r="A3" s="8" t="s">
        <v>67</v>
      </c>
      <c r="B3" t="s">
        <v>87</v>
      </c>
      <c r="C3" s="8">
        <f t="shared" si="0"/>
        <v>30580</v>
      </c>
      <c r="D3" s="8"/>
      <c r="E3" s="8"/>
      <c r="F3" s="8"/>
      <c r="G3" s="8" t="s">
        <v>36</v>
      </c>
      <c r="H3" s="9" t="s">
        <v>88</v>
      </c>
    </row>
    <row r="4" spans="1:8" ht="18.75">
      <c r="A4" s="8" t="s">
        <v>65</v>
      </c>
      <c r="B4" s="8" t="s">
        <v>90</v>
      </c>
      <c r="C4" s="8">
        <f t="shared" si="0"/>
        <v>36315</v>
      </c>
      <c r="D4" s="8"/>
      <c r="E4" s="8"/>
      <c r="F4" s="8"/>
      <c r="G4" s="8" t="s">
        <v>37</v>
      </c>
      <c r="H4" s="9" t="s">
        <v>88</v>
      </c>
    </row>
    <row r="5" spans="1:8" ht="18.75">
      <c r="A5" s="8" t="s">
        <v>65</v>
      </c>
      <c r="B5" s="8" t="s">
        <v>85</v>
      </c>
      <c r="C5" s="8">
        <f t="shared" si="0"/>
        <v>600999</v>
      </c>
      <c r="D5" s="8"/>
      <c r="E5" s="8"/>
      <c r="F5" s="8"/>
      <c r="G5" s="8" t="s">
        <v>38</v>
      </c>
      <c r="H5" s="9" t="s">
        <v>88</v>
      </c>
    </row>
    <row r="6" spans="1:8" ht="18.75">
      <c r="A6" s="8" t="s">
        <v>69</v>
      </c>
      <c r="B6" s="8" t="s">
        <v>85</v>
      </c>
      <c r="C6" s="8">
        <f t="shared" si="0"/>
        <v>600999</v>
      </c>
      <c r="D6" s="8"/>
      <c r="E6" s="8"/>
      <c r="F6" s="8"/>
      <c r="G6" s="8" t="s">
        <v>39</v>
      </c>
    </row>
    <row r="7" spans="1:8" ht="18.75">
      <c r="A7" s="8" t="s">
        <v>70</v>
      </c>
      <c r="B7" s="8" t="s">
        <v>85</v>
      </c>
      <c r="C7" s="8">
        <f t="shared" si="0"/>
        <v>600999</v>
      </c>
      <c r="D7" s="8"/>
      <c r="E7" s="8"/>
      <c r="F7" s="8"/>
      <c r="G7" s="8" t="s">
        <v>40</v>
      </c>
    </row>
    <row r="8" spans="1:8" ht="18.75">
      <c r="A8" s="8" t="s">
        <v>69</v>
      </c>
      <c r="B8" s="8" t="s">
        <v>85</v>
      </c>
      <c r="C8" s="8">
        <f t="shared" si="0"/>
        <v>600999</v>
      </c>
      <c r="D8" s="8"/>
      <c r="E8" s="8"/>
      <c r="F8" s="8"/>
      <c r="G8" s="8" t="s">
        <v>41</v>
      </c>
    </row>
    <row r="9" spans="1:8" ht="18.75">
      <c r="A9" s="8" t="s">
        <v>70</v>
      </c>
      <c r="B9" s="8" t="s">
        <v>85</v>
      </c>
      <c r="C9" s="8">
        <f t="shared" si="0"/>
        <v>600999</v>
      </c>
      <c r="D9" s="8"/>
      <c r="E9" s="8"/>
      <c r="F9" s="8"/>
      <c r="G9" s="8" t="s">
        <v>42</v>
      </c>
    </row>
    <row r="10" spans="1:8" ht="18.75">
      <c r="A10" s="8"/>
      <c r="B10" s="8"/>
      <c r="C10" s="8" t="e">
        <f t="shared" si="0"/>
        <v>#VALUE!</v>
      </c>
      <c r="D10" s="8"/>
      <c r="E10" s="8"/>
      <c r="F10" s="8"/>
      <c r="G10" s="8" t="s">
        <v>43</v>
      </c>
    </row>
    <row r="11" spans="1:8" ht="18.75">
      <c r="A11" s="8"/>
      <c r="B11" s="8"/>
      <c r="C11" s="8" t="e">
        <f t="shared" si="0"/>
        <v>#VALUE!</v>
      </c>
      <c r="D11" s="8"/>
      <c r="E11" s="8"/>
      <c r="F11" s="8"/>
      <c r="G11" s="8" t="s">
        <v>44</v>
      </c>
    </row>
    <row r="12" spans="1:8" ht="18.75">
      <c r="A12" s="8"/>
      <c r="B12" s="8"/>
      <c r="C12" s="8" t="e">
        <f t="shared" si="0"/>
        <v>#VALUE!</v>
      </c>
      <c r="D12" s="8"/>
      <c r="E12" s="8"/>
      <c r="F12" s="8"/>
      <c r="G12" s="8" t="s">
        <v>45</v>
      </c>
    </row>
    <row r="13" spans="1:8" ht="18.75">
      <c r="A13" s="8"/>
      <c r="B13" s="8"/>
      <c r="C13" s="8" t="e">
        <f t="shared" si="0"/>
        <v>#VALUE!</v>
      </c>
      <c r="D13" s="8"/>
      <c r="E13" s="8"/>
      <c r="F13" s="8"/>
      <c r="G13" s="8" t="s">
        <v>46</v>
      </c>
    </row>
    <row r="14" spans="1:8" ht="18.75">
      <c r="A14" s="8"/>
      <c r="B14" s="8"/>
      <c r="C14" s="8" t="e">
        <f t="shared" si="0"/>
        <v>#VALUE!</v>
      </c>
      <c r="D14" s="8"/>
      <c r="E14" s="8"/>
      <c r="F14" s="8"/>
      <c r="G14" s="8" t="s">
        <v>47</v>
      </c>
    </row>
    <row r="15" spans="1:8" ht="18.75">
      <c r="A15" s="8"/>
      <c r="B15" s="8"/>
      <c r="C15" s="8" t="e">
        <f t="shared" si="0"/>
        <v>#VALUE!</v>
      </c>
      <c r="D15" s="8"/>
      <c r="E15" s="8"/>
      <c r="F15" s="8"/>
      <c r="G15" s="8" t="s">
        <v>48</v>
      </c>
    </row>
    <row r="16" spans="1:8" ht="18.75">
      <c r="A16" s="8"/>
      <c r="B16" s="8"/>
      <c r="C16" s="8" t="e">
        <f t="shared" si="0"/>
        <v>#VALUE!</v>
      </c>
      <c r="D16" s="8"/>
      <c r="E16" s="8"/>
      <c r="F16" s="8"/>
      <c r="G16" s="8" t="s">
        <v>49</v>
      </c>
    </row>
    <row r="17" spans="1:7" ht="18.75">
      <c r="A17" s="8"/>
      <c r="B17" s="8"/>
      <c r="C17" s="8" t="e">
        <f t="shared" si="0"/>
        <v>#VALUE!</v>
      </c>
      <c r="D17" s="8"/>
      <c r="E17" s="8"/>
      <c r="F17" s="8"/>
      <c r="G17" s="8" t="s">
        <v>50</v>
      </c>
    </row>
    <row r="18" spans="1:7" ht="18.75">
      <c r="A18" s="8"/>
      <c r="B18" s="8"/>
      <c r="C18" s="8" t="e">
        <f t="shared" si="0"/>
        <v>#VALUE!</v>
      </c>
      <c r="D18" s="8"/>
      <c r="E18" s="8"/>
      <c r="F18" s="8"/>
      <c r="G18" s="8" t="s">
        <v>51</v>
      </c>
    </row>
    <row r="19" spans="1:7" ht="18.75">
      <c r="A19" s="8"/>
      <c r="B19" s="8"/>
      <c r="C19" s="8" t="e">
        <f t="shared" si="0"/>
        <v>#VALUE!</v>
      </c>
      <c r="D19" s="8"/>
      <c r="E19" s="8"/>
      <c r="F19" s="8"/>
      <c r="G19" s="8" t="s">
        <v>52</v>
      </c>
    </row>
    <row r="20" spans="1:7" ht="18.75">
      <c r="A20" s="8"/>
      <c r="B20" s="8"/>
      <c r="C20" s="8" t="e">
        <f t="shared" si="0"/>
        <v>#VALUE!</v>
      </c>
      <c r="D20" s="8"/>
      <c r="E20" s="8"/>
      <c r="F20" s="8"/>
      <c r="G20" s="8" t="s">
        <v>53</v>
      </c>
    </row>
    <row r="21" spans="1:7" ht="18.75">
      <c r="A21" s="8"/>
      <c r="B21" s="8"/>
      <c r="C21" s="8" t="e">
        <f t="shared" si="0"/>
        <v>#VALUE!</v>
      </c>
      <c r="D21" s="8"/>
      <c r="E21" s="8"/>
      <c r="F21" s="8"/>
      <c r="G21" s="8" t="s">
        <v>54</v>
      </c>
    </row>
    <row r="22" spans="1:7" ht="18.75">
      <c r="A22" s="8"/>
      <c r="B22" s="8"/>
      <c r="C22" s="8" t="e">
        <f t="shared" si="0"/>
        <v>#VALUE!</v>
      </c>
      <c r="D22" s="8"/>
      <c r="E22" s="8"/>
      <c r="F22" s="8"/>
      <c r="G22" s="8" t="s">
        <v>55</v>
      </c>
    </row>
    <row r="23" spans="1:7" ht="18.75">
      <c r="A23" s="8"/>
      <c r="B23" s="8"/>
      <c r="C23" s="8" t="e">
        <f t="shared" si="0"/>
        <v>#VALUE!</v>
      </c>
      <c r="D23" s="8"/>
      <c r="E23" s="8"/>
      <c r="F23" s="8"/>
      <c r="G23" s="8" t="s">
        <v>56</v>
      </c>
    </row>
    <row r="24" spans="1:7" ht="18.75">
      <c r="A24" s="8"/>
      <c r="B24" s="8"/>
      <c r="C24" s="8" t="e">
        <f t="shared" si="0"/>
        <v>#VALUE!</v>
      </c>
      <c r="D24" s="8"/>
      <c r="E24" s="8"/>
      <c r="F24" s="8"/>
      <c r="G24" s="8" t="s">
        <v>57</v>
      </c>
    </row>
    <row r="25" spans="1:7" ht="18.75">
      <c r="A25" s="8"/>
      <c r="B25" s="8"/>
      <c r="C25" s="8" t="e">
        <f t="shared" si="0"/>
        <v>#VALUE!</v>
      </c>
      <c r="D25" s="8"/>
      <c r="E25" s="8"/>
      <c r="F25" s="8"/>
      <c r="G25" s="8" t="s">
        <v>58</v>
      </c>
    </row>
    <row r="26" spans="1:7" ht="18.75">
      <c r="A26" s="8"/>
      <c r="B26" s="8"/>
      <c r="C26" s="8" t="e">
        <f t="shared" si="0"/>
        <v>#VALUE!</v>
      </c>
      <c r="D26" s="8"/>
      <c r="E26" s="8"/>
      <c r="F26" s="8"/>
      <c r="G26" s="8" t="s">
        <v>59</v>
      </c>
    </row>
    <row r="27" spans="1:7" ht="18.75">
      <c r="A27" s="8"/>
      <c r="B27" s="8"/>
      <c r="C27" s="8" t="e">
        <f t="shared" si="0"/>
        <v>#VALUE!</v>
      </c>
      <c r="D27" s="8"/>
      <c r="E27" s="8"/>
      <c r="F27" s="8"/>
      <c r="G27" s="8" t="s">
        <v>60</v>
      </c>
    </row>
    <row r="28" spans="1:7" ht="18.75">
      <c r="A28" s="8"/>
      <c r="B28" s="8"/>
      <c r="C28" s="8" t="e">
        <f t="shared" si="0"/>
        <v>#VALUE!</v>
      </c>
      <c r="D28" s="8"/>
      <c r="E28" s="8"/>
      <c r="F28" s="8"/>
      <c r="G28" s="8" t="s">
        <v>61</v>
      </c>
    </row>
    <row r="29" spans="1:7" ht="18.75">
      <c r="A29" s="8"/>
      <c r="B29" s="8"/>
      <c r="C29" s="8" t="e">
        <f t="shared" si="0"/>
        <v>#VALUE!</v>
      </c>
      <c r="D29" s="8"/>
      <c r="E29" s="8"/>
      <c r="F29" s="8"/>
      <c r="G29" s="8" t="s">
        <v>62</v>
      </c>
    </row>
    <row r="30" spans="1:7" ht="18.75">
      <c r="A30" s="8"/>
      <c r="B30" s="8"/>
      <c r="C30" s="8" t="e">
        <f t="shared" si="0"/>
        <v>#VALUE!</v>
      </c>
      <c r="D30" s="8"/>
      <c r="E30" s="8"/>
      <c r="F30" s="8"/>
      <c r="G30" s="8" t="s">
        <v>65</v>
      </c>
    </row>
    <row r="31" spans="1:7" ht="18.75">
      <c r="A31" s="8"/>
      <c r="B31" s="8"/>
      <c r="C31" s="8" t="e">
        <f t="shared" si="0"/>
        <v>#VALUE!</v>
      </c>
      <c r="D31" s="8"/>
      <c r="E31" s="8"/>
      <c r="F31" s="8"/>
      <c r="G31" s="8" t="s">
        <v>66</v>
      </c>
    </row>
    <row r="32" spans="1:7" ht="18.75">
      <c r="A32" s="8"/>
      <c r="B32" s="8"/>
      <c r="C32" s="8" t="e">
        <f t="shared" si="0"/>
        <v>#VALUE!</v>
      </c>
      <c r="D32" s="8"/>
      <c r="E32" s="8"/>
      <c r="F32" s="8"/>
      <c r="G32" s="8" t="s">
        <v>67</v>
      </c>
    </row>
    <row r="33" spans="1:7" ht="18.75">
      <c r="A33" s="8"/>
      <c r="B33" s="8"/>
      <c r="C33" s="8" t="e">
        <f t="shared" si="0"/>
        <v>#VALUE!</v>
      </c>
      <c r="D33" s="8"/>
      <c r="E33" s="8"/>
      <c r="F33" s="8"/>
      <c r="G33" s="8" t="s">
        <v>68</v>
      </c>
    </row>
    <row r="34" spans="1:7" ht="18.75">
      <c r="A34" s="8"/>
      <c r="B34" s="8"/>
      <c r="C34" s="8" t="e">
        <f t="shared" si="0"/>
        <v>#VALUE!</v>
      </c>
      <c r="D34" s="8"/>
      <c r="E34" s="8"/>
      <c r="F34" s="8"/>
      <c r="G34" s="8" t="s">
        <v>69</v>
      </c>
    </row>
    <row r="35" spans="1:7" ht="18.75">
      <c r="A35" s="8"/>
      <c r="B35" s="8"/>
      <c r="C35" s="8" t="e">
        <f t="shared" si="0"/>
        <v>#VALUE!</v>
      </c>
      <c r="D35" s="8"/>
      <c r="E35" s="8"/>
      <c r="F35" s="8"/>
      <c r="G35" s="8" t="s">
        <v>70</v>
      </c>
    </row>
    <row r="36" spans="1:7" ht="18.75">
      <c r="A36" s="8"/>
      <c r="B36" s="8"/>
      <c r="C36" s="8" t="e">
        <f t="shared" si="0"/>
        <v>#VALUE!</v>
      </c>
      <c r="D36" s="8"/>
      <c r="E36" s="8"/>
      <c r="F36" s="8"/>
      <c r="G36" s="8"/>
    </row>
    <row r="37" spans="1:7" ht="18.75">
      <c r="A37" s="8"/>
      <c r="B37" s="8"/>
      <c r="C37" s="8" t="e">
        <f t="shared" si="0"/>
        <v>#VALUE!</v>
      </c>
      <c r="D37" s="8"/>
      <c r="E37" s="8"/>
      <c r="F37" s="8"/>
      <c r="G37" s="8"/>
    </row>
    <row r="38" spans="1:7" ht="18.75">
      <c r="A38" s="8"/>
      <c r="B38" s="8"/>
      <c r="C38" s="8" t="e">
        <f t="shared" si="0"/>
        <v>#VALUE!</v>
      </c>
      <c r="D38" s="8"/>
      <c r="E38" s="8"/>
      <c r="F38" s="8"/>
      <c r="G38" s="8"/>
    </row>
    <row r="39" spans="1:7" ht="18.75">
      <c r="A39" s="8"/>
      <c r="B39" s="8"/>
      <c r="C39" s="8" t="e">
        <f t="shared" si="0"/>
        <v>#VALUE!</v>
      </c>
      <c r="D39" s="8"/>
      <c r="E39" s="8"/>
      <c r="F39" s="8"/>
      <c r="G39" s="8"/>
    </row>
    <row r="40" spans="1:7" ht="18.75">
      <c r="A40" s="8"/>
      <c r="B40" s="8"/>
      <c r="C40" s="8" t="e">
        <f t="shared" si="0"/>
        <v>#VALUE!</v>
      </c>
      <c r="D40" s="8"/>
      <c r="E40" s="8"/>
      <c r="F40" s="8"/>
      <c r="G40" s="8"/>
    </row>
  </sheetData>
  <sortState xmlns:xlrd2="http://schemas.microsoft.com/office/spreadsheetml/2017/richdata2" ref="A2:B9">
    <sortCondition ref="B2"/>
  </sortState>
  <dataValidations count="1">
    <dataValidation type="list" allowBlank="1" showInputMessage="1" showErrorMessage="1" sqref="A2:A40" xr:uid="{B19D4349-52DE-459E-8E4B-3FE43E68D624}">
      <formula1>team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B8AB2-D7A5-4708-91D4-5A86AF3C0426}">
  <sheetPr codeName="Sheet10"/>
  <dimension ref="A1:G40"/>
  <sheetViews>
    <sheetView zoomScale="160" zoomScaleNormal="160" workbookViewId="0">
      <selection activeCell="A4" sqref="A4"/>
    </sheetView>
  </sheetViews>
  <sheetFormatPr defaultRowHeight="15"/>
  <cols>
    <col min="1" max="1" width="19.85546875" customWidth="1"/>
    <col min="2" max="2" width="22.85546875" customWidth="1"/>
    <col min="3" max="3" width="14.5703125" customWidth="1"/>
    <col min="7" max="7" width="45.28515625" customWidth="1"/>
  </cols>
  <sheetData>
    <row r="1" spans="1:7" s="6" customFormat="1" ht="18.75">
      <c r="A1" s="7" t="s">
        <v>32</v>
      </c>
      <c r="B1" s="7" t="s">
        <v>33</v>
      </c>
      <c r="C1" s="7" t="s">
        <v>63</v>
      </c>
      <c r="D1" s="7"/>
      <c r="E1" s="7"/>
      <c r="F1" s="7"/>
      <c r="G1" s="7" t="s">
        <v>34</v>
      </c>
    </row>
    <row r="2" spans="1:7" ht="18.75">
      <c r="A2" s="8" t="s">
        <v>68</v>
      </c>
      <c r="B2" s="8" t="s">
        <v>92</v>
      </c>
      <c r="C2" s="8">
        <f t="shared" ref="C2:C40" si="0">RIGHT(B2,3)+(MID(B2,4,2)*1000)+(LEFT(B2,2)*60000)</f>
        <v>31631</v>
      </c>
      <c r="D2" s="8"/>
      <c r="E2" s="8"/>
      <c r="F2" s="8"/>
      <c r="G2" s="8" t="s">
        <v>35</v>
      </c>
    </row>
    <row r="3" spans="1:7" ht="18.75">
      <c r="A3" s="8" t="s">
        <v>70</v>
      </c>
      <c r="B3" s="8" t="s">
        <v>98</v>
      </c>
      <c r="C3" s="8">
        <f t="shared" si="0"/>
        <v>38358</v>
      </c>
      <c r="D3" s="8"/>
      <c r="E3" s="8"/>
      <c r="F3" s="8"/>
      <c r="G3" s="8" t="s">
        <v>36</v>
      </c>
    </row>
    <row r="4" spans="1:7" ht="18.75">
      <c r="A4" s="8" t="s">
        <v>68</v>
      </c>
      <c r="B4" s="8" t="s">
        <v>95</v>
      </c>
      <c r="C4" s="8">
        <f t="shared" si="0"/>
        <v>45826</v>
      </c>
      <c r="D4" s="8"/>
      <c r="E4" s="8"/>
      <c r="F4" s="8"/>
      <c r="G4" s="8" t="s">
        <v>37</v>
      </c>
    </row>
    <row r="5" spans="1:7" ht="18.75">
      <c r="A5" s="8" t="s">
        <v>69</v>
      </c>
      <c r="B5" s="8" t="s">
        <v>93</v>
      </c>
      <c r="C5" s="8">
        <f t="shared" si="0"/>
        <v>47905</v>
      </c>
      <c r="D5" s="8"/>
      <c r="E5" s="8"/>
      <c r="F5" s="8"/>
      <c r="G5" s="8" t="s">
        <v>38</v>
      </c>
    </row>
    <row r="6" spans="1:7" ht="18.75">
      <c r="A6" s="8" t="s">
        <v>70</v>
      </c>
      <c r="B6" s="8" t="s">
        <v>94</v>
      </c>
      <c r="C6" s="8">
        <f t="shared" si="0"/>
        <v>48264</v>
      </c>
      <c r="D6" s="8"/>
      <c r="E6" s="8"/>
      <c r="F6" s="8"/>
      <c r="G6" s="8" t="s">
        <v>39</v>
      </c>
    </row>
    <row r="7" spans="1:7" ht="18.75">
      <c r="A7" s="8" t="s">
        <v>65</v>
      </c>
      <c r="B7" s="8" t="s">
        <v>91</v>
      </c>
      <c r="C7" s="8">
        <f t="shared" si="0"/>
        <v>58777</v>
      </c>
      <c r="D7" s="8"/>
      <c r="E7" s="8"/>
      <c r="F7" s="8"/>
      <c r="G7" s="8" t="s">
        <v>40</v>
      </c>
    </row>
    <row r="8" spans="1:7" ht="18.75">
      <c r="A8" s="8" t="s">
        <v>69</v>
      </c>
      <c r="B8" s="8" t="s">
        <v>97</v>
      </c>
      <c r="C8" s="8">
        <f t="shared" si="0"/>
        <v>74298</v>
      </c>
      <c r="D8" s="8"/>
      <c r="E8" s="8"/>
      <c r="F8" s="8"/>
      <c r="G8" s="8" t="s">
        <v>41</v>
      </c>
    </row>
    <row r="9" spans="1:7" ht="18.75">
      <c r="A9" s="8" t="s">
        <v>65</v>
      </c>
      <c r="B9" s="8" t="s">
        <v>96</v>
      </c>
      <c r="C9" s="8">
        <f t="shared" si="0"/>
        <v>80605</v>
      </c>
      <c r="D9" s="8"/>
      <c r="E9" s="8"/>
      <c r="F9" s="8"/>
      <c r="G9" s="8" t="s">
        <v>42</v>
      </c>
    </row>
    <row r="10" spans="1:7" ht="18.75">
      <c r="A10" s="8"/>
      <c r="B10" s="8"/>
      <c r="C10" s="8" t="e">
        <f t="shared" si="0"/>
        <v>#VALUE!</v>
      </c>
      <c r="D10" s="8"/>
      <c r="E10" s="8"/>
      <c r="F10" s="8"/>
      <c r="G10" s="8" t="s">
        <v>43</v>
      </c>
    </row>
    <row r="11" spans="1:7" ht="18.75">
      <c r="A11" s="8"/>
      <c r="B11" s="8"/>
      <c r="C11" s="8" t="e">
        <f t="shared" si="0"/>
        <v>#VALUE!</v>
      </c>
      <c r="D11" s="8"/>
      <c r="E11" s="8"/>
      <c r="F11" s="8"/>
      <c r="G11" s="8" t="s">
        <v>44</v>
      </c>
    </row>
    <row r="12" spans="1:7" ht="18.75">
      <c r="A12" s="8"/>
      <c r="B12" s="8"/>
      <c r="C12" s="8" t="e">
        <f t="shared" si="0"/>
        <v>#VALUE!</v>
      </c>
      <c r="D12" s="8"/>
      <c r="E12" s="8"/>
      <c r="F12" s="8"/>
      <c r="G12" s="8" t="s">
        <v>45</v>
      </c>
    </row>
    <row r="13" spans="1:7" ht="18.75">
      <c r="A13" s="8"/>
      <c r="B13" s="8"/>
      <c r="C13" s="8" t="e">
        <f t="shared" si="0"/>
        <v>#VALUE!</v>
      </c>
      <c r="D13" s="8"/>
      <c r="E13" s="8"/>
      <c r="F13" s="8"/>
      <c r="G13" s="8" t="s">
        <v>46</v>
      </c>
    </row>
    <row r="14" spans="1:7" ht="18.75">
      <c r="A14" s="8"/>
      <c r="B14" s="8"/>
      <c r="C14" s="8" t="e">
        <f t="shared" si="0"/>
        <v>#VALUE!</v>
      </c>
      <c r="D14" s="8"/>
      <c r="E14" s="8"/>
      <c r="F14" s="8"/>
      <c r="G14" s="8" t="s">
        <v>47</v>
      </c>
    </row>
    <row r="15" spans="1:7" ht="18.75">
      <c r="A15" s="8"/>
      <c r="B15" s="8"/>
      <c r="C15" s="8" t="e">
        <f t="shared" si="0"/>
        <v>#VALUE!</v>
      </c>
      <c r="D15" s="8"/>
      <c r="E15" s="8"/>
      <c r="F15" s="8"/>
      <c r="G15" s="8" t="s">
        <v>48</v>
      </c>
    </row>
    <row r="16" spans="1:7" ht="18.75">
      <c r="A16" s="8"/>
      <c r="B16" s="8"/>
      <c r="C16" s="8" t="e">
        <f t="shared" si="0"/>
        <v>#VALUE!</v>
      </c>
      <c r="D16" s="8"/>
      <c r="E16" s="8"/>
      <c r="F16" s="8"/>
      <c r="G16" s="8" t="s">
        <v>49</v>
      </c>
    </row>
    <row r="17" spans="1:7" ht="18.75">
      <c r="A17" s="8"/>
      <c r="B17" s="8"/>
      <c r="C17" s="8" t="e">
        <f t="shared" si="0"/>
        <v>#VALUE!</v>
      </c>
      <c r="D17" s="8"/>
      <c r="E17" s="8"/>
      <c r="F17" s="8"/>
      <c r="G17" s="8" t="s">
        <v>50</v>
      </c>
    </row>
    <row r="18" spans="1:7" ht="18.75">
      <c r="A18" s="8"/>
      <c r="B18" s="8"/>
      <c r="C18" s="8" t="e">
        <f t="shared" si="0"/>
        <v>#VALUE!</v>
      </c>
      <c r="D18" s="8"/>
      <c r="E18" s="8"/>
      <c r="F18" s="8"/>
      <c r="G18" s="8" t="s">
        <v>51</v>
      </c>
    </row>
    <row r="19" spans="1:7" ht="18.75">
      <c r="A19" s="8"/>
      <c r="B19" s="8"/>
      <c r="C19" s="8" t="e">
        <f t="shared" si="0"/>
        <v>#VALUE!</v>
      </c>
      <c r="D19" s="8"/>
      <c r="E19" s="8"/>
      <c r="F19" s="8"/>
      <c r="G19" s="8" t="s">
        <v>52</v>
      </c>
    </row>
    <row r="20" spans="1:7" ht="18.75">
      <c r="A20" s="8"/>
      <c r="B20" s="8"/>
      <c r="C20" s="8" t="e">
        <f t="shared" si="0"/>
        <v>#VALUE!</v>
      </c>
      <c r="D20" s="8"/>
      <c r="E20" s="8"/>
      <c r="F20" s="8"/>
      <c r="G20" s="8" t="s">
        <v>53</v>
      </c>
    </row>
    <row r="21" spans="1:7" ht="18.75">
      <c r="A21" s="8"/>
      <c r="B21" s="8"/>
      <c r="C21" s="8" t="e">
        <f t="shared" si="0"/>
        <v>#VALUE!</v>
      </c>
      <c r="D21" s="8"/>
      <c r="E21" s="8"/>
      <c r="F21" s="8"/>
      <c r="G21" s="8" t="s">
        <v>54</v>
      </c>
    </row>
    <row r="22" spans="1:7" ht="18.75">
      <c r="A22" s="8"/>
      <c r="B22" s="8"/>
      <c r="C22" s="8" t="e">
        <f t="shared" si="0"/>
        <v>#VALUE!</v>
      </c>
      <c r="D22" s="8"/>
      <c r="E22" s="8"/>
      <c r="F22" s="8"/>
      <c r="G22" s="8" t="s">
        <v>55</v>
      </c>
    </row>
    <row r="23" spans="1:7" ht="18.75">
      <c r="A23" s="8"/>
      <c r="B23" s="8"/>
      <c r="C23" s="8" t="e">
        <f t="shared" si="0"/>
        <v>#VALUE!</v>
      </c>
      <c r="D23" s="8"/>
      <c r="E23" s="8"/>
      <c r="F23" s="8"/>
      <c r="G23" s="8" t="s">
        <v>56</v>
      </c>
    </row>
    <row r="24" spans="1:7" ht="18.75">
      <c r="A24" s="8"/>
      <c r="B24" s="8"/>
      <c r="C24" s="8" t="e">
        <f t="shared" si="0"/>
        <v>#VALUE!</v>
      </c>
      <c r="D24" s="8"/>
      <c r="E24" s="8"/>
      <c r="F24" s="8"/>
      <c r="G24" s="8" t="s">
        <v>57</v>
      </c>
    </row>
    <row r="25" spans="1:7" ht="18.75">
      <c r="A25" s="8"/>
      <c r="B25" s="8"/>
      <c r="C25" s="8" t="e">
        <f t="shared" si="0"/>
        <v>#VALUE!</v>
      </c>
      <c r="D25" s="8"/>
      <c r="E25" s="8"/>
      <c r="F25" s="8"/>
      <c r="G25" s="8" t="s">
        <v>58</v>
      </c>
    </row>
    <row r="26" spans="1:7" ht="18.75">
      <c r="A26" s="8"/>
      <c r="B26" s="8"/>
      <c r="C26" s="8" t="e">
        <f t="shared" si="0"/>
        <v>#VALUE!</v>
      </c>
      <c r="D26" s="8"/>
      <c r="E26" s="8"/>
      <c r="F26" s="8"/>
      <c r="G26" s="8" t="s">
        <v>59</v>
      </c>
    </row>
    <row r="27" spans="1:7" ht="18.75">
      <c r="A27" s="8"/>
      <c r="B27" s="8"/>
      <c r="C27" s="8" t="e">
        <f t="shared" si="0"/>
        <v>#VALUE!</v>
      </c>
      <c r="D27" s="8"/>
      <c r="E27" s="8"/>
      <c r="F27" s="8"/>
      <c r="G27" s="8" t="s">
        <v>60</v>
      </c>
    </row>
    <row r="28" spans="1:7" ht="18.75">
      <c r="A28" s="8"/>
      <c r="B28" s="8"/>
      <c r="C28" s="8" t="e">
        <f t="shared" si="0"/>
        <v>#VALUE!</v>
      </c>
      <c r="D28" s="8"/>
      <c r="E28" s="8"/>
      <c r="F28" s="8"/>
      <c r="G28" s="8" t="s">
        <v>61</v>
      </c>
    </row>
    <row r="29" spans="1:7" ht="18.75">
      <c r="A29" s="8"/>
      <c r="B29" s="8"/>
      <c r="C29" s="8" t="e">
        <f t="shared" si="0"/>
        <v>#VALUE!</v>
      </c>
      <c r="D29" s="8"/>
      <c r="E29" s="8"/>
      <c r="F29" s="8"/>
      <c r="G29" s="8" t="s">
        <v>62</v>
      </c>
    </row>
    <row r="30" spans="1:7" ht="18.75">
      <c r="A30" s="8"/>
      <c r="B30" s="8"/>
      <c r="C30" s="8" t="e">
        <f t="shared" si="0"/>
        <v>#VALUE!</v>
      </c>
      <c r="D30" s="8"/>
      <c r="E30" s="8"/>
      <c r="F30" s="8"/>
      <c r="G30" s="8" t="s">
        <v>65</v>
      </c>
    </row>
    <row r="31" spans="1:7" ht="18.75">
      <c r="A31" s="8"/>
      <c r="B31" s="8"/>
      <c r="C31" s="8" t="e">
        <f t="shared" si="0"/>
        <v>#VALUE!</v>
      </c>
      <c r="D31" s="8"/>
      <c r="E31" s="8"/>
      <c r="F31" s="8"/>
      <c r="G31" s="8" t="s">
        <v>66</v>
      </c>
    </row>
    <row r="32" spans="1:7" ht="18.75">
      <c r="A32" s="8"/>
      <c r="B32" s="8"/>
      <c r="C32" s="8" t="e">
        <f t="shared" si="0"/>
        <v>#VALUE!</v>
      </c>
      <c r="D32" s="8"/>
      <c r="E32" s="8"/>
      <c r="F32" s="8"/>
      <c r="G32" s="8" t="s">
        <v>67</v>
      </c>
    </row>
    <row r="33" spans="1:7" ht="18.75">
      <c r="A33" s="8"/>
      <c r="B33" s="8"/>
      <c r="C33" s="8" t="e">
        <f t="shared" si="0"/>
        <v>#VALUE!</v>
      </c>
      <c r="D33" s="8"/>
      <c r="E33" s="8"/>
      <c r="F33" s="8"/>
      <c r="G33" s="8" t="s">
        <v>68</v>
      </c>
    </row>
    <row r="34" spans="1:7" ht="18.75">
      <c r="A34" s="8"/>
      <c r="B34" s="8"/>
      <c r="C34" s="8" t="e">
        <f t="shared" si="0"/>
        <v>#VALUE!</v>
      </c>
      <c r="D34" s="8"/>
      <c r="E34" s="8"/>
      <c r="F34" s="8"/>
      <c r="G34" s="8" t="s">
        <v>69</v>
      </c>
    </row>
    <row r="35" spans="1:7" ht="18.75">
      <c r="A35" s="8"/>
      <c r="B35" s="8"/>
      <c r="C35" s="8" t="e">
        <f t="shared" si="0"/>
        <v>#VALUE!</v>
      </c>
      <c r="D35" s="8"/>
      <c r="E35" s="8"/>
      <c r="F35" s="8"/>
      <c r="G35" s="8" t="s">
        <v>70</v>
      </c>
    </row>
    <row r="36" spans="1:7" ht="18.75">
      <c r="A36" s="8"/>
      <c r="B36" s="8"/>
      <c r="C36" s="8" t="e">
        <f t="shared" si="0"/>
        <v>#VALUE!</v>
      </c>
      <c r="D36" s="8"/>
      <c r="E36" s="8"/>
      <c r="F36" s="8"/>
      <c r="G36" s="8"/>
    </row>
    <row r="37" spans="1:7" ht="18.75">
      <c r="A37" s="8"/>
      <c r="B37" s="8"/>
      <c r="C37" s="8" t="e">
        <f t="shared" si="0"/>
        <v>#VALUE!</v>
      </c>
      <c r="D37" s="8"/>
      <c r="E37" s="8"/>
      <c r="F37" s="8"/>
      <c r="G37" s="8"/>
    </row>
    <row r="38" spans="1:7" ht="18.75">
      <c r="A38" s="8"/>
      <c r="B38" s="8"/>
      <c r="C38" s="8" t="e">
        <f t="shared" si="0"/>
        <v>#VALUE!</v>
      </c>
      <c r="D38" s="8"/>
      <c r="E38" s="8"/>
      <c r="F38" s="8"/>
      <c r="G38" s="8"/>
    </row>
    <row r="39" spans="1:7" ht="18.75">
      <c r="A39" s="8"/>
      <c r="B39" s="8"/>
      <c r="C39" s="8" t="e">
        <f t="shared" si="0"/>
        <v>#VALUE!</v>
      </c>
      <c r="D39" s="8"/>
      <c r="E39" s="8"/>
      <c r="F39" s="8"/>
      <c r="G39" s="8"/>
    </row>
    <row r="40" spans="1:7" ht="18.75">
      <c r="A40" s="8"/>
      <c r="B40" s="8"/>
      <c r="C40" s="8" t="e">
        <f t="shared" si="0"/>
        <v>#VALUE!</v>
      </c>
      <c r="D40" s="8"/>
      <c r="E40" s="8"/>
      <c r="F40" s="8"/>
      <c r="G40" s="8"/>
    </row>
  </sheetData>
  <sortState xmlns:xlrd2="http://schemas.microsoft.com/office/spreadsheetml/2017/richdata2" ref="A2:B9">
    <sortCondition ref="B2"/>
  </sortState>
  <dataValidations count="1">
    <dataValidation type="list" allowBlank="1" showInputMessage="1" showErrorMessage="1" sqref="A2:A40" xr:uid="{557C86A3-E6B2-4B32-ADD3-5E1C69F55655}">
      <formula1>team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571C2-AD1F-4816-A75C-6ED71B7A7733}">
  <sheetPr codeName="Sheet11"/>
  <dimension ref="A1:C8"/>
  <sheetViews>
    <sheetView workbookViewId="0">
      <selection activeCell="C12" sqref="C12"/>
    </sheetView>
  </sheetViews>
  <sheetFormatPr defaultRowHeight="15"/>
  <sheetData>
    <row r="1" spans="1:3">
      <c r="A1">
        <v>1</v>
      </c>
      <c r="B1">
        <v>3</v>
      </c>
      <c r="C1" t="s">
        <v>64</v>
      </c>
    </row>
    <row r="2" spans="1:3">
      <c r="A2">
        <v>2</v>
      </c>
      <c r="B2">
        <v>2</v>
      </c>
      <c r="C2" t="s">
        <v>64</v>
      </c>
    </row>
    <row r="3" spans="1:3">
      <c r="A3">
        <v>1</v>
      </c>
      <c r="B3">
        <v>4</v>
      </c>
      <c r="C3" t="s">
        <v>64</v>
      </c>
    </row>
    <row r="4" spans="1:3">
      <c r="A4">
        <v>1.3333333333333299</v>
      </c>
      <c r="B4">
        <v>5</v>
      </c>
    </row>
    <row r="5" spans="1:3">
      <c r="A5">
        <v>1.3333333333333299</v>
      </c>
      <c r="B5">
        <v>1</v>
      </c>
    </row>
    <row r="6" spans="1:3">
      <c r="A6">
        <v>1.3333333333333299</v>
      </c>
      <c r="B6">
        <v>3</v>
      </c>
    </row>
    <row r="7" spans="1:3">
      <c r="A7">
        <v>1.3333333333333299</v>
      </c>
    </row>
    <row r="8" spans="1:3">
      <c r="A8">
        <v>1.3333333333333299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6"/>
  <sheetViews>
    <sheetView workbookViewId="0">
      <selection activeCell="D33" sqref="D33"/>
    </sheetView>
  </sheetViews>
  <sheetFormatPr defaultRowHeight="15"/>
  <cols>
    <col min="1" max="1" width="9.140625" style="2"/>
  </cols>
  <sheetData>
    <row r="1" spans="1:11">
      <c r="A1" s="2" t="s">
        <v>0</v>
      </c>
      <c r="B1" s="1"/>
      <c r="C1" s="1"/>
    </row>
    <row r="5" spans="1:11">
      <c r="F5" s="4" t="s">
        <v>1</v>
      </c>
    </row>
    <row r="7" spans="1:11">
      <c r="F7" s="4" t="s">
        <v>28</v>
      </c>
    </row>
    <row r="8" spans="1:11">
      <c r="F8" t="s">
        <v>29</v>
      </c>
    </row>
    <row r="10" spans="1:11">
      <c r="F10" s="4" t="s">
        <v>99</v>
      </c>
    </row>
    <row r="12" spans="1:11">
      <c r="F12" s="4" t="s">
        <v>100</v>
      </c>
    </row>
    <row r="14" spans="1:11">
      <c r="F14" s="4" t="s">
        <v>102</v>
      </c>
      <c r="K14" t="s">
        <v>103</v>
      </c>
    </row>
    <row r="15" spans="1:11">
      <c r="F15" s="4" t="s">
        <v>104</v>
      </c>
    </row>
    <row r="17" spans="6:6">
      <c r="F17" s="4" t="s">
        <v>105</v>
      </c>
    </row>
    <row r="20" spans="6:6">
      <c r="F20" s="4" t="s">
        <v>106</v>
      </c>
    </row>
    <row r="22" spans="6:6">
      <c r="F22" s="4" t="s">
        <v>107</v>
      </c>
    </row>
    <row r="24" spans="6:6">
      <c r="F24" s="4" t="s">
        <v>108</v>
      </c>
    </row>
    <row r="26" spans="6:6">
      <c r="F26" s="4" t="s">
        <v>109</v>
      </c>
    </row>
  </sheetData>
  <hyperlinks>
    <hyperlink ref="F5" r:id="rId1" xr:uid="{F93F9B20-A4FA-495E-B32A-58C4E7215FB7}"/>
    <hyperlink ref="F7" r:id="rId2" xr:uid="{DB25DDE5-665D-4706-8A3A-C03668194C36}"/>
    <hyperlink ref="F10" r:id="rId3" xr:uid="{A3C7AE32-D38A-473D-9421-DA836DE05AD8}"/>
    <hyperlink ref="F12" r:id="rId4" xr:uid="{7A5802FF-9AAC-4276-99C7-1899AF246A68}"/>
    <hyperlink ref="F14" r:id="rId5" xr:uid="{68AF70A2-E06B-4976-9F56-2E6A0519BB63}"/>
    <hyperlink ref="F15" r:id="rId6" xr:uid="{8B1B7CC9-4EF5-4FF5-90DF-9FB8BF8830B0}"/>
    <hyperlink ref="F17" r:id="rId7" xr:uid="{80A72541-6212-4A0E-9B8D-F68EFD0C02F8}"/>
    <hyperlink ref="F20" r:id="rId8" xr:uid="{607AD029-65D1-4395-8593-EA06869C86E4}"/>
    <hyperlink ref="F22" r:id="rId9" xr:uid="{CED160AE-5833-4A83-88C5-E0826AFD1760}"/>
    <hyperlink ref="F24" r:id="rId10" xr:uid="{C30D247C-41DA-4132-974E-787FE77CB6F9}"/>
    <hyperlink ref="F26" r:id="rId11" xr:uid="{E25809C5-11C1-480F-A798-78DC8EA7E64C}"/>
  </hyperlinks>
  <pageMargins left="0.7" right="0.7" top="0.75" bottom="0.75" header="0.3" footer="0.3"/>
  <pageSetup paperSize="9" orientation="portrait" r:id="rId1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A8ED-EEFB-4BDA-92F8-8443B81DABF1}">
  <sheetPr codeName="Sheet1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E524-3DB6-42EC-AFEA-4416FBC24FD6}">
  <sheetPr codeName="Sheet2"/>
  <dimension ref="A1:H22"/>
  <sheetViews>
    <sheetView workbookViewId="0">
      <selection activeCell="C2" sqref="C2"/>
    </sheetView>
  </sheetViews>
  <sheetFormatPr defaultRowHeight="15"/>
  <sheetData>
    <row r="1" spans="1:8">
      <c r="A1" s="3" t="s">
        <v>6</v>
      </c>
      <c r="B1" t="s">
        <v>7</v>
      </c>
      <c r="C1" t="s">
        <v>8</v>
      </c>
    </row>
    <row r="2" spans="1:8">
      <c r="A2" t="s">
        <v>9</v>
      </c>
      <c r="B2" s="3" t="s">
        <v>2</v>
      </c>
      <c r="C2" s="3">
        <f>RIGHT(B2,3)+(MID(B2,4,2)*1000)+(LEFT(B2,2)*60000)</f>
        <v>682232</v>
      </c>
    </row>
    <row r="3" spans="1:8">
      <c r="A3" t="s">
        <v>14</v>
      </c>
      <c r="B3" s="3" t="s">
        <v>11</v>
      </c>
      <c r="C3" s="3">
        <f t="shared" ref="C3:C5" si="0">RIGHT(B3,3)+(MID(B3,4,2)*1000)+(LEFT(B3,2)*60000)</f>
        <v>682233</v>
      </c>
    </row>
    <row r="4" spans="1:8">
      <c r="A4" t="s">
        <v>15</v>
      </c>
      <c r="B4" s="3" t="s">
        <v>12</v>
      </c>
      <c r="C4" s="3">
        <f t="shared" si="0"/>
        <v>682234</v>
      </c>
    </row>
    <row r="5" spans="1:8">
      <c r="A5" t="s">
        <v>16</v>
      </c>
      <c r="B5" s="3" t="s">
        <v>13</v>
      </c>
      <c r="C5" s="3">
        <f t="shared" si="0"/>
        <v>682235</v>
      </c>
    </row>
    <row r="12" spans="1:8">
      <c r="A12" s="3" t="s">
        <v>2</v>
      </c>
      <c r="B12" t="str">
        <f>LEFT(A12,2)</f>
        <v>11</v>
      </c>
      <c r="C12" t="str">
        <f>MID(A12,4,2)</f>
        <v>22</v>
      </c>
      <c r="D12" t="str">
        <f>RIGHT(A12,3)</f>
        <v>232</v>
      </c>
      <c r="E12">
        <f>D12+(C12*1000)+(B12*60000)</f>
        <v>682232</v>
      </c>
    </row>
    <row r="13" spans="1:8">
      <c r="A13" t="s">
        <v>4</v>
      </c>
      <c r="B13" t="str">
        <f>LEFT(A13,2)</f>
        <v>00</v>
      </c>
      <c r="C13" t="str">
        <f>MID(A13,4,2)</f>
        <v>26</v>
      </c>
      <c r="D13" t="str">
        <f>RIGHT(A13,3)</f>
        <v>628</v>
      </c>
      <c r="E13">
        <f>D13+(C13*1000)+(B13*60000)</f>
        <v>26628</v>
      </c>
    </row>
    <row r="15" spans="1:8">
      <c r="H15" t="s">
        <v>5</v>
      </c>
    </row>
    <row r="17" spans="1:8">
      <c r="H17" t="s">
        <v>10</v>
      </c>
    </row>
    <row r="22" spans="1:8">
      <c r="A22" t="s">
        <v>3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24B71-501B-4E69-97B6-6EBC6BEC3B05}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2952B-373E-449D-9806-BD8F4D5B69FC}">
  <sheetPr codeName="Sheet4"/>
  <dimension ref="A1:O35"/>
  <sheetViews>
    <sheetView workbookViewId="0">
      <selection activeCell="H2" sqref="H2"/>
    </sheetView>
  </sheetViews>
  <sheetFormatPr defaultRowHeight="15"/>
  <sheetData>
    <row r="1" spans="1:15">
      <c r="G1" t="s">
        <v>6</v>
      </c>
      <c r="H1" t="s">
        <v>7</v>
      </c>
      <c r="I1" t="s">
        <v>8</v>
      </c>
    </row>
    <row r="2" spans="1:15" ht="15.75">
      <c r="A2">
        <v>1</v>
      </c>
      <c r="B2" s="5"/>
      <c r="G2" t="s">
        <v>9</v>
      </c>
      <c r="H2" t="s">
        <v>22</v>
      </c>
      <c r="I2">
        <f>RIGHT(H2,3)+(MID(H2,4,2)*1000)+(LEFT(H2,2)*60000)</f>
        <v>682333</v>
      </c>
      <c r="J2">
        <f>RANK(I2,$I$2:I31)</f>
        <v>3</v>
      </c>
      <c r="M2" t="s">
        <v>17</v>
      </c>
      <c r="O2" s="4" t="s">
        <v>24</v>
      </c>
    </row>
    <row r="3" spans="1:15">
      <c r="A3">
        <v>2</v>
      </c>
      <c r="G3" t="s">
        <v>14</v>
      </c>
      <c r="H3" t="s">
        <v>11</v>
      </c>
      <c r="I3">
        <f t="shared" ref="I3:I6" si="0">RIGHT(H3,3)+(MID(H3,4,2)*1000)+(LEFT(H3,2)*60000)</f>
        <v>682233</v>
      </c>
      <c r="J3">
        <f>RANK(I3,$I$2:I32)</f>
        <v>4</v>
      </c>
    </row>
    <row r="4" spans="1:15">
      <c r="A4">
        <v>3</v>
      </c>
      <c r="G4" t="s">
        <v>15</v>
      </c>
      <c r="H4" t="s">
        <v>21</v>
      </c>
      <c r="I4">
        <f t="shared" si="0"/>
        <v>682000</v>
      </c>
      <c r="J4">
        <f>RANK(I4,$I$2:I33)</f>
        <v>5</v>
      </c>
      <c r="M4" t="s">
        <v>18</v>
      </c>
    </row>
    <row r="5" spans="1:15">
      <c r="A5">
        <v>4</v>
      </c>
      <c r="G5" t="s">
        <v>16</v>
      </c>
      <c r="H5" t="s">
        <v>23</v>
      </c>
      <c r="I5">
        <f t="shared" si="0"/>
        <v>682444</v>
      </c>
      <c r="J5">
        <f>RANK(I5,$I$2:I34)</f>
        <v>1</v>
      </c>
      <c r="M5" t="s">
        <v>19</v>
      </c>
    </row>
    <row r="6" spans="1:15">
      <c r="A6">
        <v>5</v>
      </c>
      <c r="G6" t="s">
        <v>16</v>
      </c>
      <c r="H6" t="s">
        <v>23</v>
      </c>
      <c r="I6">
        <f t="shared" si="0"/>
        <v>682444</v>
      </c>
      <c r="J6">
        <f>RANK(I6,$I$2:I35)</f>
        <v>1</v>
      </c>
      <c r="M6" t="s">
        <v>20</v>
      </c>
    </row>
    <row r="7" spans="1:15">
      <c r="A7">
        <v>6</v>
      </c>
      <c r="J7" t="e">
        <f>RANK(I7,$I$2:I36)</f>
        <v>#N/A</v>
      </c>
    </row>
    <row r="8" spans="1:15">
      <c r="A8">
        <v>7</v>
      </c>
      <c r="J8" t="e">
        <f>RANK(I8,$I$2:I37)</f>
        <v>#N/A</v>
      </c>
    </row>
    <row r="9" spans="1:15">
      <c r="A9">
        <v>8</v>
      </c>
      <c r="J9" t="e">
        <f>RANK(I9,$I$2:I38)</f>
        <v>#N/A</v>
      </c>
    </row>
    <row r="10" spans="1:15">
      <c r="A10">
        <v>9</v>
      </c>
      <c r="J10" t="e">
        <f>RANK(I10,$I$2:I39)</f>
        <v>#N/A</v>
      </c>
    </row>
    <row r="11" spans="1:15">
      <c r="A11">
        <v>10</v>
      </c>
      <c r="J11" t="e">
        <f>RANK(I11,$I$2:I40)</f>
        <v>#N/A</v>
      </c>
    </row>
    <row r="12" spans="1:15">
      <c r="A12">
        <v>11</v>
      </c>
      <c r="J12" t="e">
        <f>RANK(I12,$I$2:I41)</f>
        <v>#N/A</v>
      </c>
    </row>
    <row r="13" spans="1:15">
      <c r="A13">
        <v>12</v>
      </c>
      <c r="J13" t="e">
        <f>RANK(I13,$I$2:I42)</f>
        <v>#N/A</v>
      </c>
    </row>
    <row r="14" spans="1:15">
      <c r="A14">
        <v>13</v>
      </c>
      <c r="J14" t="e">
        <f>RANK(I14,$I$2:I43)</f>
        <v>#N/A</v>
      </c>
      <c r="O14" t="s">
        <v>25</v>
      </c>
    </row>
    <row r="15" spans="1:15">
      <c r="A15">
        <v>14</v>
      </c>
      <c r="J15" t="e">
        <f>RANK(I15,$I$2:I44)</f>
        <v>#N/A</v>
      </c>
    </row>
    <row r="16" spans="1:15">
      <c r="A16">
        <v>15</v>
      </c>
      <c r="J16" t="e">
        <f>RANK(I16,$I$2:I45)</f>
        <v>#N/A</v>
      </c>
      <c r="N16" t="s">
        <v>26</v>
      </c>
    </row>
    <row r="17" spans="1:14">
      <c r="A17">
        <v>16</v>
      </c>
      <c r="J17" t="e">
        <f>RANK(I17,$I$2:I46)</f>
        <v>#N/A</v>
      </c>
    </row>
    <row r="18" spans="1:14">
      <c r="A18">
        <v>17</v>
      </c>
      <c r="J18" t="e">
        <f>RANK(I18,$I$2:I47)</f>
        <v>#N/A</v>
      </c>
    </row>
    <row r="19" spans="1:14">
      <c r="A19">
        <v>18</v>
      </c>
      <c r="J19" t="e">
        <f>RANK(I19,$I$2:I48)</f>
        <v>#N/A</v>
      </c>
    </row>
    <row r="20" spans="1:14">
      <c r="A20">
        <v>19</v>
      </c>
      <c r="J20" t="e">
        <f>RANK(I20,$I$2:I49)</f>
        <v>#N/A</v>
      </c>
    </row>
    <row r="21" spans="1:14">
      <c r="A21">
        <v>20</v>
      </c>
      <c r="J21" t="e">
        <f>RANK(I21,$I$2:I50)</f>
        <v>#N/A</v>
      </c>
    </row>
    <row r="22" spans="1:14">
      <c r="A22">
        <v>21</v>
      </c>
      <c r="J22" t="e">
        <f>RANK(I22,$I$2:I51)</f>
        <v>#N/A</v>
      </c>
    </row>
    <row r="23" spans="1:14">
      <c r="A23">
        <v>22</v>
      </c>
      <c r="J23" t="e">
        <f>RANK(I23,$I$2:I52)</f>
        <v>#N/A</v>
      </c>
    </row>
    <row r="24" spans="1:14">
      <c r="A24">
        <v>23</v>
      </c>
    </row>
    <row r="25" spans="1:14">
      <c r="A25">
        <v>24</v>
      </c>
    </row>
    <row r="26" spans="1:14">
      <c r="A26">
        <v>25</v>
      </c>
      <c r="N26" t="s">
        <v>27</v>
      </c>
    </row>
    <row r="27" spans="1:14">
      <c r="A27">
        <v>26</v>
      </c>
    </row>
    <row r="28" spans="1:14">
      <c r="A28">
        <v>27</v>
      </c>
    </row>
    <row r="29" spans="1:14">
      <c r="A29">
        <v>28</v>
      </c>
    </row>
    <row r="30" spans="1:14">
      <c r="A30">
        <v>29</v>
      </c>
    </row>
    <row r="31" spans="1:14">
      <c r="A31">
        <v>30</v>
      </c>
    </row>
    <row r="32" spans="1:14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</sheetData>
  <phoneticPr fontId="3" type="noConversion"/>
  <hyperlinks>
    <hyperlink ref="O2" r:id="rId1" xr:uid="{9E6F5359-C638-4ABF-9FF5-AA306C25D4EA}"/>
  </hyperlinks>
  <pageMargins left="0.7" right="0.7" top="0.75" bottom="0.75" header="0.3" footer="0.3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665E5-5BB0-4EE4-8368-73D30EC8F55E}">
  <sheetPr codeName="Sheet5"/>
  <dimension ref="A1:B19"/>
  <sheetViews>
    <sheetView workbookViewId="0">
      <selection activeCell="B15" sqref="B15"/>
    </sheetView>
  </sheetViews>
  <sheetFormatPr defaultRowHeight="15"/>
  <sheetData>
    <row r="1" spans="1:2">
      <c r="A1" t="s">
        <v>30</v>
      </c>
      <c r="B1" t="s">
        <v>31</v>
      </c>
    </row>
    <row r="2" spans="1:2">
      <c r="A2">
        <v>9</v>
      </c>
      <c r="B2">
        <v>0.1</v>
      </c>
    </row>
    <row r="3" spans="1:2">
      <c r="A3">
        <v>10</v>
      </c>
      <c r="B3">
        <v>0.1</v>
      </c>
    </row>
    <row r="4" spans="1:2">
      <c r="A4">
        <v>11</v>
      </c>
      <c r="B4">
        <v>0.2</v>
      </c>
    </row>
    <row r="5" spans="1:2">
      <c r="A5">
        <v>13</v>
      </c>
      <c r="B5">
        <v>0.3</v>
      </c>
    </row>
    <row r="6" spans="1:2">
      <c r="A6">
        <v>1</v>
      </c>
      <c r="B6">
        <v>1</v>
      </c>
    </row>
    <row r="7" spans="1:2">
      <c r="A7">
        <v>2</v>
      </c>
      <c r="B7">
        <v>2</v>
      </c>
    </row>
    <row r="8" spans="1:2">
      <c r="A8">
        <v>3</v>
      </c>
      <c r="B8">
        <v>3</v>
      </c>
    </row>
    <row r="9" spans="1:2">
      <c r="A9">
        <v>4</v>
      </c>
      <c r="B9">
        <v>4</v>
      </c>
    </row>
    <row r="10" spans="1:2">
      <c r="A10">
        <v>5</v>
      </c>
      <c r="B10">
        <v>5</v>
      </c>
    </row>
    <row r="11" spans="1:2">
      <c r="A11">
        <v>6</v>
      </c>
      <c r="B11">
        <v>6</v>
      </c>
    </row>
    <row r="12" spans="1:2">
      <c r="A12">
        <v>7</v>
      </c>
      <c r="B12">
        <v>7</v>
      </c>
    </row>
    <row r="13" spans="1:2">
      <c r="A13">
        <v>8</v>
      </c>
      <c r="B13">
        <v>8</v>
      </c>
    </row>
    <row r="14" spans="1:2">
      <c r="A14">
        <v>12</v>
      </c>
      <c r="B14">
        <v>12</v>
      </c>
    </row>
    <row r="15" spans="1:2">
      <c r="A15">
        <v>14</v>
      </c>
    </row>
    <row r="16" spans="1:2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</sheetData>
  <sortState xmlns:xlrd2="http://schemas.microsoft.com/office/spreadsheetml/2017/richdata2" ref="A2:B14">
    <sortCondition ref="B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39403-60FD-455A-B53A-D28AA1434333}">
  <sheetPr codeName="Sheet7"/>
  <dimension ref="A1:A2"/>
  <sheetViews>
    <sheetView workbookViewId="0">
      <selection activeCell="G1" sqref="G1"/>
    </sheetView>
  </sheetViews>
  <sheetFormatPr defaultRowHeight="15"/>
  <cols>
    <col min="1" max="1" width="25.28515625" customWidth="1"/>
  </cols>
  <sheetData>
    <row r="1" spans="1:1">
      <c r="A1" t="s">
        <v>101</v>
      </c>
    </row>
    <row r="2" spans="1:1">
      <c r="A2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Line</vt:lpstr>
      <vt:lpstr>ObstacleLine</vt:lpstr>
      <vt:lpstr>Maze</vt:lpstr>
      <vt:lpstr>Teleop</vt:lpstr>
      <vt:lpstr>tst</vt:lpstr>
      <vt:lpstr>ttttt</vt:lpstr>
      <vt:lpstr>Sheet1</vt:lpstr>
      <vt:lpstr>TimeToMIllis</vt:lpstr>
      <vt:lpstr>Sheet3</vt:lpstr>
      <vt:lpstr>Sheet2</vt:lpstr>
      <vt:lpstr>VBASort</vt:lpstr>
      <vt:lpstr>Process3val</vt:lpstr>
      <vt:lpstr>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</dc:creator>
  <cp:lastModifiedBy>Stefan</cp:lastModifiedBy>
  <dcterms:created xsi:type="dcterms:W3CDTF">2015-06-05T18:19:34Z</dcterms:created>
  <dcterms:modified xsi:type="dcterms:W3CDTF">2023-05-15T04:48:48Z</dcterms:modified>
</cp:coreProperties>
</file>